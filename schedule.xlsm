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13530" yWindow="1065" windowWidth="15270" windowHeight="12345" activeTab="2"/>
  </bookViews>
  <sheets>
    <sheet name="t2" sheetId="28" r:id="rId1"/>
    <sheet name="t3" sheetId="29" r:id="rId2"/>
    <sheet name="t7" sheetId="27" r:id="rId3"/>
  </sheets>
  <functionGroups builtInGroupCount="17"/>
  <definedNames>
    <definedName name="_FilterDatabase" localSheetId="0" hidden="1">'t2'!$A$6:$CO$286</definedName>
    <definedName name="_FilterDatabase" localSheetId="1" hidden="1">'t3'!$A$6:$CO$404</definedName>
    <definedName name="_FilterDatabase" localSheetId="2" hidden="1">'t7'!$A$6:$CO$407</definedName>
    <definedName name="all" localSheetId="0">'t2'!$B$6:$P$267</definedName>
    <definedName name="all" localSheetId="1">'t3'!$B$6:$P$386</definedName>
    <definedName name="all" localSheetId="2">'t7'!$B$6:$P$389</definedName>
    <definedName name="all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0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1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2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" "</definedName>
    <definedName name="LOCAL_TIME_SEPARATOR" hidden="1">INDEX(GET.WORKSPACE(37),18)</definedName>
    <definedName name="LOCAL_YEAR_FORMAT" hidden="1">INDEX(GET.WORKSPACE(37),19)</definedName>
    <definedName name="nr_zam" localSheetId="0">'t2'!#REF!</definedName>
    <definedName name="nr_zam" localSheetId="1">'t3'!#REF!</definedName>
    <definedName name="nr_zam" localSheetId="2">'t7'!#REF!</definedName>
    <definedName name="nr_zam">#REF!</definedName>
    <definedName name="Print_Area" localSheetId="0">'t2'!$A$1:$J$299</definedName>
    <definedName name="Print_Area" localSheetId="1">'t3'!$A$1:$J$417</definedName>
    <definedName name="Print_Area" localSheetId="2">'t7'!$A$1:$J$420</definedName>
    <definedName name="Z_9A94100E_158B_42C0_AB20_BF91CDD737D5_.wvu.Cols" localSheetId="0" hidden="1">'t2'!$L:$P</definedName>
    <definedName name="Z_9A94100E_158B_42C0_AB20_BF91CDD737D5_.wvu.Cols" localSheetId="1" hidden="1">'t3'!$L:$P</definedName>
    <definedName name="Z_9A94100E_158B_42C0_AB20_BF91CDD737D5_.wvu.Cols" localSheetId="2" hidden="1">'t7'!$L:$P</definedName>
    <definedName name="Z_9A94100E_158B_42C0_AB20_BF91CDD737D5_.wvu.FilterData" localSheetId="0" hidden="1">'t2'!$B$6:$P$267</definedName>
    <definedName name="Z_9A94100E_158B_42C0_AB20_BF91CDD737D5_.wvu.FilterData" localSheetId="1" hidden="1">'t3'!$B$6:$P$386</definedName>
    <definedName name="Z_9A94100E_158B_42C0_AB20_BF91CDD737D5_.wvu.FilterData" localSheetId="2" hidden="1">'t7'!$B$6:$P$389</definedName>
  </definedNames>
  <calcPr calcId="145621"/>
  <customWorkbookViews>
    <customWorkbookView name="Sigma S.A. - Widok osobisty" guid="{9A94100E-158B-42C0-AB20-BF91CDD737D5}" mergeInterval="0" personalView="1" maximized="1" windowWidth="1276" windowHeight="848" activeSheetId="1"/>
  </customWorkbookViews>
</workbook>
</file>

<file path=xl/calcChain.xml><?xml version="1.0" encoding="utf-8"?>
<calcChain xmlns="http://schemas.openxmlformats.org/spreadsheetml/2006/main">
  <c r="G275" i="28" l="1"/>
  <c r="G184" i="28"/>
  <c r="G183" i="28"/>
  <c r="G182" i="28"/>
  <c r="G313" i="27"/>
  <c r="G205" i="28"/>
  <c r="G206" i="28"/>
  <c r="E314" i="27"/>
  <c r="G314" i="27" s="1"/>
  <c r="G307" i="29"/>
  <c r="G373" i="27"/>
  <c r="G374" i="27"/>
  <c r="G370" i="29"/>
  <c r="G251" i="28"/>
  <c r="E283" i="27" l="1"/>
  <c r="G283" i="27" s="1"/>
  <c r="E279" i="29"/>
  <c r="G279" i="29" s="1"/>
  <c r="E224" i="28"/>
  <c r="G224" i="28" s="1"/>
  <c r="E223" i="28"/>
  <c r="G223" i="28" s="1"/>
  <c r="E217" i="28"/>
  <c r="G217" i="28" s="1"/>
  <c r="G226" i="28"/>
  <c r="G219" i="28"/>
  <c r="G210" i="28"/>
  <c r="E196" i="28"/>
  <c r="G196" i="28" s="1"/>
  <c r="E195" i="28"/>
  <c r="G195" i="28" s="1"/>
  <c r="E194" i="28"/>
  <c r="G194" i="28" s="1"/>
  <c r="E193" i="28"/>
  <c r="G193" i="28" s="1"/>
  <c r="E192" i="28"/>
  <c r="G192" i="28" s="1"/>
  <c r="G191" i="28"/>
  <c r="E191" i="28"/>
  <c r="E190" i="28"/>
  <c r="G190" i="28" s="1"/>
  <c r="E189" i="28"/>
  <c r="G189" i="28" s="1"/>
  <c r="E188" i="28"/>
  <c r="G188" i="28" s="1"/>
  <c r="E187" i="28"/>
  <c r="G187" i="28" s="1"/>
  <c r="E186" i="28"/>
  <c r="G186" i="28" s="1"/>
  <c r="G185" i="28"/>
  <c r="E185" i="28"/>
  <c r="G197" i="28"/>
  <c r="G198" i="28"/>
  <c r="G199" i="28"/>
  <c r="G200" i="28"/>
  <c r="G201" i="28"/>
  <c r="G202" i="28"/>
  <c r="G203" i="28"/>
  <c r="G204" i="28"/>
  <c r="G207" i="28"/>
  <c r="G208" i="28"/>
  <c r="G209" i="28"/>
  <c r="E176" i="28"/>
  <c r="G176" i="28" s="1"/>
  <c r="E175" i="28"/>
  <c r="G175" i="28" s="1"/>
  <c r="E174" i="28"/>
  <c r="G174" i="28" s="1"/>
  <c r="G173" i="28"/>
  <c r="E173" i="28"/>
  <c r="E164" i="28"/>
  <c r="G164" i="28" s="1"/>
  <c r="E163" i="28"/>
  <c r="G163" i="28" s="1"/>
  <c r="E162" i="28"/>
  <c r="G162" i="28" s="1"/>
  <c r="G161" i="28"/>
  <c r="E161" i="28"/>
  <c r="E160" i="28"/>
  <c r="G160" i="28" s="1"/>
  <c r="E159" i="28"/>
  <c r="G159" i="28" s="1"/>
  <c r="E158" i="28"/>
  <c r="G158" i="28" s="1"/>
  <c r="G157" i="28"/>
  <c r="E157" i="28"/>
  <c r="E156" i="28"/>
  <c r="G156" i="28" s="1"/>
  <c r="E155" i="28"/>
  <c r="G155" i="28" s="1"/>
  <c r="E154" i="28"/>
  <c r="G154" i="28" s="1"/>
  <c r="G153" i="28"/>
  <c r="E153" i="28"/>
  <c r="G165" i="28"/>
  <c r="E166" i="28"/>
  <c r="G166" i="28" s="1"/>
  <c r="E167" i="28"/>
  <c r="G167" i="28" s="1"/>
  <c r="E168" i="28"/>
  <c r="G168" i="28" s="1"/>
  <c r="E169" i="28"/>
  <c r="G169" i="28" s="1"/>
  <c r="E170" i="28"/>
  <c r="G170" i="28" s="1"/>
  <c r="E171" i="28"/>
  <c r="G171" i="28" s="1"/>
  <c r="E172" i="28"/>
  <c r="G172" i="28" s="1"/>
  <c r="G177" i="28"/>
  <c r="E178" i="28"/>
  <c r="G178" i="28"/>
  <c r="E179" i="28"/>
  <c r="G179" i="28" s="1"/>
  <c r="E180" i="28"/>
  <c r="G180" i="28"/>
  <c r="E148" i="28"/>
  <c r="G148" i="28" s="1"/>
  <c r="E147" i="28"/>
  <c r="G147" i="28" s="1"/>
  <c r="E146" i="28"/>
  <c r="G146" i="28" s="1"/>
  <c r="G145" i="28"/>
  <c r="G66" i="28"/>
  <c r="G65" i="28"/>
  <c r="G64" i="28"/>
  <c r="G63" i="28"/>
  <c r="G62" i="28"/>
  <c r="G61" i="28"/>
  <c r="G60" i="28"/>
  <c r="G318" i="29"/>
  <c r="G323" i="27"/>
  <c r="E324" i="27"/>
  <c r="G324" i="27" s="1"/>
  <c r="E344" i="29"/>
  <c r="G344" i="29"/>
  <c r="E336" i="29"/>
  <c r="G336" i="29"/>
  <c r="G313" i="29"/>
  <c r="E343" i="29"/>
  <c r="E335" i="29"/>
  <c r="G210" i="29"/>
  <c r="G209" i="29"/>
  <c r="G208" i="29"/>
  <c r="G206" i="29"/>
  <c r="G205" i="29"/>
  <c r="G204" i="29"/>
  <c r="G80" i="28"/>
  <c r="G78" i="28"/>
  <c r="G72" i="29"/>
  <c r="G50" i="29"/>
  <c r="G49" i="29"/>
  <c r="G48" i="29"/>
  <c r="G47" i="29"/>
  <c r="G46" i="29"/>
  <c r="G45" i="29"/>
  <c r="G44" i="29"/>
  <c r="G43" i="29"/>
  <c r="G42" i="29"/>
  <c r="G62" i="27"/>
  <c r="G50" i="28"/>
  <c r="G49" i="28"/>
  <c r="G48" i="28"/>
  <c r="G47" i="28"/>
  <c r="G46" i="28"/>
  <c r="G45" i="28"/>
  <c r="G44" i="28"/>
  <c r="G43" i="28"/>
  <c r="G42" i="28"/>
  <c r="G225" i="28"/>
  <c r="G222" i="28"/>
  <c r="G221" i="28"/>
  <c r="G220" i="28"/>
  <c r="G218" i="28"/>
  <c r="G216" i="28"/>
  <c r="G215" i="28"/>
  <c r="G214" i="28"/>
  <c r="G213" i="28"/>
  <c r="G212" i="28"/>
  <c r="G211" i="28"/>
  <c r="E152" i="28"/>
  <c r="G152" i="28" s="1"/>
  <c r="E151" i="28"/>
  <c r="G151" i="28" s="1"/>
  <c r="E150" i="28"/>
  <c r="G150" i="28" s="1"/>
  <c r="G149" i="28"/>
  <c r="E144" i="28"/>
  <c r="G144" i="28" s="1"/>
  <c r="E143" i="28"/>
  <c r="G143" i="28" s="1"/>
  <c r="E142" i="28"/>
  <c r="G142" i="28" s="1"/>
  <c r="G141" i="28"/>
  <c r="E140" i="28"/>
  <c r="G140" i="28" s="1"/>
  <c r="E139" i="28"/>
  <c r="G139" i="28" s="1"/>
  <c r="E138" i="28"/>
  <c r="G138" i="28" s="1"/>
  <c r="E137" i="28"/>
  <c r="G137" i="28" s="1"/>
  <c r="E136" i="28"/>
  <c r="G136" i="28" s="1"/>
  <c r="E135" i="28"/>
  <c r="G135" i="28" s="1"/>
  <c r="E134" i="28"/>
  <c r="G134" i="28" s="1"/>
  <c r="E133" i="28"/>
  <c r="G133" i="28" s="1"/>
  <c r="E132" i="28"/>
  <c r="G132" i="28" s="1"/>
  <c r="E131" i="28"/>
  <c r="G131" i="28" s="1"/>
  <c r="E130" i="28"/>
  <c r="G130" i="28" s="1"/>
  <c r="E129" i="28"/>
  <c r="G129" i="28" s="1"/>
  <c r="E128" i="28"/>
  <c r="G128" i="28" s="1"/>
  <c r="E127" i="28"/>
  <c r="G127" i="28" s="1"/>
  <c r="E126" i="28"/>
  <c r="G126" i="28" s="1"/>
  <c r="G125" i="28"/>
  <c r="S505" i="29" l="1"/>
  <c r="S504" i="29"/>
  <c r="S503" i="29"/>
  <c r="S502" i="29"/>
  <c r="S501" i="29"/>
  <c r="S500" i="29"/>
  <c r="S499" i="29"/>
  <c r="S498" i="29"/>
  <c r="S497" i="29"/>
  <c r="S496" i="29"/>
  <c r="S495" i="29"/>
  <c r="S494" i="29"/>
  <c r="S493" i="29"/>
  <c r="S492" i="29"/>
  <c r="S491" i="29"/>
  <c r="S490" i="29"/>
  <c r="S489" i="29"/>
  <c r="S488" i="29"/>
  <c r="S487" i="29"/>
  <c r="S486" i="29"/>
  <c r="S485" i="29"/>
  <c r="S484" i="29"/>
  <c r="S483" i="29"/>
  <c r="S482" i="29"/>
  <c r="S481" i="29"/>
  <c r="S480" i="29"/>
  <c r="E432" i="29"/>
  <c r="E431" i="29"/>
  <c r="E430" i="29"/>
  <c r="D430" i="29"/>
  <c r="E421" i="29"/>
  <c r="D421" i="29"/>
  <c r="R406" i="29"/>
  <c r="P404" i="29"/>
  <c r="P408" i="29" s="1"/>
  <c r="G393" i="29"/>
  <c r="G386" i="29"/>
  <c r="G385" i="29"/>
  <c r="G384" i="29"/>
  <c r="G383" i="29"/>
  <c r="G382" i="29"/>
  <c r="G381" i="29"/>
  <c r="G380" i="29"/>
  <c r="G379" i="29"/>
  <c r="G378" i="29"/>
  <c r="G377" i="29"/>
  <c r="G376" i="29"/>
  <c r="G375" i="29"/>
  <c r="G374" i="29"/>
  <c r="G373" i="29"/>
  <c r="G372" i="29"/>
  <c r="G371" i="29"/>
  <c r="G369" i="29"/>
  <c r="G368" i="29"/>
  <c r="G367" i="29"/>
  <c r="G366" i="29"/>
  <c r="G365" i="29"/>
  <c r="G364" i="29"/>
  <c r="G363" i="29"/>
  <c r="G362" i="29"/>
  <c r="G361" i="29"/>
  <c r="G360" i="29"/>
  <c r="G359" i="29"/>
  <c r="G358" i="29"/>
  <c r="G357" i="29"/>
  <c r="G356" i="29"/>
  <c r="G355" i="29"/>
  <c r="G354" i="29"/>
  <c r="G353" i="29"/>
  <c r="G352" i="29"/>
  <c r="E350" i="29"/>
  <c r="G350" i="29" s="1"/>
  <c r="E349" i="29"/>
  <c r="G349" i="29" s="1"/>
  <c r="G348" i="29"/>
  <c r="G347" i="29"/>
  <c r="G346" i="29"/>
  <c r="G345" i="29"/>
  <c r="G343" i="29"/>
  <c r="E342" i="29"/>
  <c r="G342" i="29" s="1"/>
  <c r="E341" i="29"/>
  <c r="G341" i="29" s="1"/>
  <c r="E340" i="29"/>
  <c r="G340" i="29" s="1"/>
  <c r="E339" i="29"/>
  <c r="G339" i="29" s="1"/>
  <c r="E338" i="29"/>
  <c r="G338" i="29" s="1"/>
  <c r="E337" i="29"/>
  <c r="G337" i="29" s="1"/>
  <c r="G335" i="29"/>
  <c r="E334" i="29"/>
  <c r="G334" i="29" s="1"/>
  <c r="E333" i="29"/>
  <c r="G333" i="29" s="1"/>
  <c r="E332" i="29"/>
  <c r="G332" i="29" s="1"/>
  <c r="E331" i="29"/>
  <c r="G331" i="29" s="1"/>
  <c r="E330" i="29"/>
  <c r="G330" i="29" s="1"/>
  <c r="G329" i="29"/>
  <c r="E328" i="29"/>
  <c r="G328" i="29" s="1"/>
  <c r="E327" i="29"/>
  <c r="G327" i="29" s="1"/>
  <c r="G326" i="29"/>
  <c r="E325" i="29"/>
  <c r="G325" i="29" s="1"/>
  <c r="E324" i="29"/>
  <c r="G324" i="29" s="1"/>
  <c r="E323" i="29"/>
  <c r="G323" i="29" s="1"/>
  <c r="E322" i="29"/>
  <c r="G322" i="29" s="1"/>
  <c r="E321" i="29"/>
  <c r="G321" i="29" s="1"/>
  <c r="E320" i="29"/>
  <c r="G320" i="29" s="1"/>
  <c r="E319" i="29"/>
  <c r="G319" i="29" s="1"/>
  <c r="E317" i="29"/>
  <c r="G317" i="29" s="1"/>
  <c r="E316" i="29"/>
  <c r="G316" i="29" s="1"/>
  <c r="E315" i="29"/>
  <c r="G315" i="29" s="1"/>
  <c r="E314" i="29"/>
  <c r="G314" i="29" s="1"/>
  <c r="E312" i="29"/>
  <c r="G312" i="29" s="1"/>
  <c r="E311" i="29"/>
  <c r="G311" i="29" s="1"/>
  <c r="E310" i="29"/>
  <c r="G310" i="29" s="1"/>
  <c r="E309" i="29"/>
  <c r="G309" i="29" s="1"/>
  <c r="E308" i="29"/>
  <c r="G308" i="29" s="1"/>
  <c r="E306" i="29"/>
  <c r="G306" i="29" s="1"/>
  <c r="E305" i="29"/>
  <c r="G305" i="29" s="1"/>
  <c r="E304" i="29"/>
  <c r="G304" i="29" s="1"/>
  <c r="E303" i="29"/>
  <c r="G303" i="29" s="1"/>
  <c r="G302" i="29"/>
  <c r="G301" i="29"/>
  <c r="G300" i="29"/>
  <c r="E298" i="29"/>
  <c r="G298" i="29" s="1"/>
  <c r="E297" i="29"/>
  <c r="G297" i="29" s="1"/>
  <c r="E296" i="29"/>
  <c r="G296" i="29" s="1"/>
  <c r="G295" i="29"/>
  <c r="E295" i="29"/>
  <c r="E294" i="29"/>
  <c r="G294" i="29" s="1"/>
  <c r="E293" i="29"/>
  <c r="G293" i="29" s="1"/>
  <c r="E292" i="29"/>
  <c r="G292" i="29" s="1"/>
  <c r="G291" i="29"/>
  <c r="E291" i="29"/>
  <c r="E290" i="29"/>
  <c r="G290" i="29" s="1"/>
  <c r="E289" i="29"/>
  <c r="G289" i="29" s="1"/>
  <c r="E288" i="29"/>
  <c r="G288" i="29" s="1"/>
  <c r="E287" i="29"/>
  <c r="G287" i="29" s="1"/>
  <c r="E286" i="29"/>
  <c r="G286" i="29" s="1"/>
  <c r="E285" i="29"/>
  <c r="G285" i="29" s="1"/>
  <c r="E284" i="29"/>
  <c r="G284" i="29" s="1"/>
  <c r="E283" i="29"/>
  <c r="G283" i="29" s="1"/>
  <c r="E282" i="29"/>
  <c r="G282" i="29" s="1"/>
  <c r="E281" i="29"/>
  <c r="G281" i="29" s="1"/>
  <c r="E280" i="29"/>
  <c r="G280" i="29" s="1"/>
  <c r="E278" i="29"/>
  <c r="G278" i="29" s="1"/>
  <c r="E277" i="29"/>
  <c r="G277" i="29" s="1"/>
  <c r="E276" i="29"/>
  <c r="G276" i="29" s="1"/>
  <c r="G275" i="29"/>
  <c r="G274" i="29"/>
  <c r="G273" i="29"/>
  <c r="G272" i="29"/>
  <c r="E270" i="29"/>
  <c r="G270" i="29" s="1"/>
  <c r="E269" i="29"/>
  <c r="G269" i="29" s="1"/>
  <c r="E268" i="29"/>
  <c r="G268" i="29" s="1"/>
  <c r="E267" i="29"/>
  <c r="G267" i="29" s="1"/>
  <c r="E266" i="29"/>
  <c r="G266" i="29" s="1"/>
  <c r="G265" i="29"/>
  <c r="E265" i="29"/>
  <c r="E264" i="29"/>
  <c r="G264" i="29" s="1"/>
  <c r="E263" i="29"/>
  <c r="G263" i="29" s="1"/>
  <c r="E262" i="29"/>
  <c r="G262" i="29" s="1"/>
  <c r="E261" i="29"/>
  <c r="G261" i="29" s="1"/>
  <c r="E260" i="29"/>
  <c r="G260" i="29" s="1"/>
  <c r="G259" i="29"/>
  <c r="E259" i="29"/>
  <c r="E258" i="29"/>
  <c r="G258" i="29" s="1"/>
  <c r="E257" i="29"/>
  <c r="G257" i="29" s="1"/>
  <c r="E256" i="29"/>
  <c r="G256" i="29" s="1"/>
  <c r="E255" i="29"/>
  <c r="G255" i="29" s="1"/>
  <c r="E254" i="29"/>
  <c r="G254" i="29" s="1"/>
  <c r="G253" i="29"/>
  <c r="E253" i="29"/>
  <c r="G252" i="29"/>
  <c r="G251" i="29"/>
  <c r="G250" i="29"/>
  <c r="E248" i="29"/>
  <c r="G248" i="29" s="1"/>
  <c r="E247" i="29"/>
  <c r="G247" i="29" s="1"/>
  <c r="E246" i="29"/>
  <c r="G246" i="29" s="1"/>
  <c r="G245" i="29"/>
  <c r="E245" i="29"/>
  <c r="E244" i="29"/>
  <c r="G244" i="29" s="1"/>
  <c r="E243" i="29"/>
  <c r="G243" i="29" s="1"/>
  <c r="E242" i="29"/>
  <c r="G242" i="29" s="1"/>
  <c r="G241" i="29"/>
  <c r="E241" i="29"/>
  <c r="E240" i="29"/>
  <c r="G240" i="29" s="1"/>
  <c r="E239" i="29"/>
  <c r="G239" i="29" s="1"/>
  <c r="E238" i="29"/>
  <c r="G238" i="29" s="1"/>
  <c r="E237" i="29"/>
  <c r="G237" i="29" s="1"/>
  <c r="E236" i="29"/>
  <c r="G236" i="29" s="1"/>
  <c r="E235" i="29"/>
  <c r="G235" i="29" s="1"/>
  <c r="E234" i="29"/>
  <c r="G234" i="29" s="1"/>
  <c r="G233" i="29"/>
  <c r="E233" i="29"/>
  <c r="E232" i="29"/>
  <c r="G232" i="29" s="1"/>
  <c r="E231" i="29"/>
  <c r="G231" i="29" s="1"/>
  <c r="G230" i="29"/>
  <c r="E230" i="29"/>
  <c r="E229" i="29"/>
  <c r="G229" i="29" s="1"/>
  <c r="E228" i="29"/>
  <c r="G228" i="29" s="1"/>
  <c r="E227" i="29"/>
  <c r="G227" i="29" s="1"/>
  <c r="G226" i="29"/>
  <c r="E226" i="29"/>
  <c r="E225" i="29"/>
  <c r="G225" i="29" s="1"/>
  <c r="E224" i="29"/>
  <c r="G224" i="29" s="1"/>
  <c r="G223" i="29"/>
  <c r="E223" i="29"/>
  <c r="E222" i="29"/>
  <c r="G222" i="29" s="1"/>
  <c r="E221" i="29"/>
  <c r="G221" i="29" s="1"/>
  <c r="E220" i="29"/>
  <c r="G220" i="29" s="1"/>
  <c r="G219" i="29"/>
  <c r="E219" i="29"/>
  <c r="E218" i="29"/>
  <c r="G218" i="29" s="1"/>
  <c r="E217" i="29"/>
  <c r="G217" i="29" s="1"/>
  <c r="E216" i="29"/>
  <c r="G216" i="29" s="1"/>
  <c r="G215" i="29"/>
  <c r="E215" i="29"/>
  <c r="E214" i="29"/>
  <c r="G214" i="29" s="1"/>
  <c r="E213" i="29"/>
  <c r="G213" i="29" s="1"/>
  <c r="E212" i="29"/>
  <c r="G212" i="29" s="1"/>
  <c r="G211" i="29"/>
  <c r="E211" i="29"/>
  <c r="G202" i="29"/>
  <c r="G201" i="29"/>
  <c r="G200" i="29"/>
  <c r="E198" i="29"/>
  <c r="G198" i="29" s="1"/>
  <c r="E197" i="29"/>
  <c r="G197" i="29" s="1"/>
  <c r="E196" i="29"/>
  <c r="G196" i="29" s="1"/>
  <c r="G195" i="29"/>
  <c r="E195" i="29"/>
  <c r="G194" i="29"/>
  <c r="G193" i="29"/>
  <c r="G192" i="29"/>
  <c r="G191" i="29"/>
  <c r="G190" i="29"/>
  <c r="G189" i="29"/>
  <c r="G188" i="29"/>
  <c r="G187" i="29"/>
  <c r="G186" i="29"/>
  <c r="G185" i="29"/>
  <c r="G184" i="29"/>
  <c r="G183" i="29"/>
  <c r="G182" i="29"/>
  <c r="G181" i="29"/>
  <c r="G180" i="29"/>
  <c r="G179" i="29"/>
  <c r="G178" i="29"/>
  <c r="G176" i="29"/>
  <c r="G175" i="29"/>
  <c r="G174" i="29"/>
  <c r="G173" i="29"/>
  <c r="G172" i="29"/>
  <c r="G171" i="29"/>
  <c r="G170" i="29"/>
  <c r="G169" i="29"/>
  <c r="G168" i="29"/>
  <c r="G167" i="29"/>
  <c r="G166" i="29"/>
  <c r="G165" i="29"/>
  <c r="G164" i="29"/>
  <c r="G163" i="29"/>
  <c r="G162" i="29"/>
  <c r="G161" i="29"/>
  <c r="G160" i="29"/>
  <c r="G159" i="29"/>
  <c r="G157" i="29"/>
  <c r="G156" i="29"/>
  <c r="G155" i="29"/>
  <c r="G154" i="29"/>
  <c r="G153" i="29"/>
  <c r="G152" i="29"/>
  <c r="G151" i="29"/>
  <c r="G150" i="29"/>
  <c r="G149" i="29"/>
  <c r="G148" i="29"/>
  <c r="G147" i="29"/>
  <c r="G146" i="29"/>
  <c r="G145" i="29"/>
  <c r="G144" i="29"/>
  <c r="G143" i="29"/>
  <c r="G142" i="29"/>
  <c r="G141" i="29"/>
  <c r="G140" i="29"/>
  <c r="G139" i="29"/>
  <c r="E137" i="29"/>
  <c r="G137" i="29" s="1"/>
  <c r="E136" i="29"/>
  <c r="G136" i="29" s="1"/>
  <c r="E135" i="29"/>
  <c r="G135" i="29" s="1"/>
  <c r="E134" i="29"/>
  <c r="G134" i="29" s="1"/>
  <c r="E133" i="29"/>
  <c r="G133" i="29" s="1"/>
  <c r="E132" i="29"/>
  <c r="G132" i="29" s="1"/>
  <c r="E131" i="29"/>
  <c r="G131" i="29" s="1"/>
  <c r="E130" i="29"/>
  <c r="G130" i="29" s="1"/>
  <c r="E129" i="29"/>
  <c r="G129" i="29" s="1"/>
  <c r="E128" i="29"/>
  <c r="G128" i="29" s="1"/>
  <c r="E127" i="29"/>
  <c r="G127" i="29" s="1"/>
  <c r="E126" i="29"/>
  <c r="G126" i="29" s="1"/>
  <c r="E125" i="29"/>
  <c r="G125" i="29" s="1"/>
  <c r="G124" i="29"/>
  <c r="E124" i="29"/>
  <c r="E123" i="29"/>
  <c r="G123" i="29" s="1"/>
  <c r="E122" i="29"/>
  <c r="G122" i="29" s="1"/>
  <c r="E121" i="29"/>
  <c r="G121" i="29" s="1"/>
  <c r="E120" i="29"/>
  <c r="G120" i="29" s="1"/>
  <c r="E119" i="29"/>
  <c r="G119" i="29" s="1"/>
  <c r="E118" i="29"/>
  <c r="G118" i="29" s="1"/>
  <c r="G117" i="29"/>
  <c r="E117" i="29"/>
  <c r="G116" i="29"/>
  <c r="G115" i="29"/>
  <c r="G114" i="29"/>
  <c r="G113" i="29"/>
  <c r="E112" i="29"/>
  <c r="G112" i="29" s="1"/>
  <c r="E111" i="29"/>
  <c r="G111" i="29" s="1"/>
  <c r="E110" i="29"/>
  <c r="G110" i="29" s="1"/>
  <c r="E109" i="29"/>
  <c r="G109" i="29" s="1"/>
  <c r="E108" i="29"/>
  <c r="G108" i="29" s="1"/>
  <c r="E107" i="29"/>
  <c r="G107" i="29" s="1"/>
  <c r="G106" i="29"/>
  <c r="E106" i="29"/>
  <c r="E105" i="29"/>
  <c r="G105" i="29" s="1"/>
  <c r="E104" i="29"/>
  <c r="G104" i="29" s="1"/>
  <c r="E103" i="29"/>
  <c r="G103" i="29" s="1"/>
  <c r="G102" i="29"/>
  <c r="G101" i="29"/>
  <c r="G100" i="29"/>
  <c r="G99" i="29"/>
  <c r="G98" i="29"/>
  <c r="E96" i="29"/>
  <c r="G96" i="29" s="1"/>
  <c r="E95" i="29"/>
  <c r="G95" i="29" s="1"/>
  <c r="E94" i="29"/>
  <c r="G94" i="29" s="1"/>
  <c r="E93" i="29"/>
  <c r="G93" i="29" s="1"/>
  <c r="E92" i="29"/>
  <c r="G92" i="29" s="1"/>
  <c r="G91" i="29"/>
  <c r="E91" i="29"/>
  <c r="G90" i="29"/>
  <c r="G89" i="29"/>
  <c r="G88" i="29"/>
  <c r="E86" i="29"/>
  <c r="G86" i="29" s="1"/>
  <c r="E85" i="29"/>
  <c r="G85" i="29" s="1"/>
  <c r="E84" i="29"/>
  <c r="G84" i="29" s="1"/>
  <c r="G83" i="29"/>
  <c r="E83" i="29"/>
  <c r="E82" i="29"/>
  <c r="G82" i="29" s="1"/>
  <c r="G81" i="29"/>
  <c r="G80" i="29"/>
  <c r="G79" i="29"/>
  <c r="G78" i="29"/>
  <c r="E76" i="29"/>
  <c r="G76" i="29" s="1"/>
  <c r="E75" i="29"/>
  <c r="G75" i="29" s="1"/>
  <c r="E74" i="29"/>
  <c r="G74" i="29" s="1"/>
  <c r="G73" i="29"/>
  <c r="G71" i="29"/>
  <c r="G70" i="29"/>
  <c r="G69" i="29"/>
  <c r="E68" i="29"/>
  <c r="G68" i="29" s="1"/>
  <c r="E67" i="29"/>
  <c r="G67" i="29" s="1"/>
  <c r="G66" i="29"/>
  <c r="E65" i="29"/>
  <c r="G65" i="29" s="1"/>
  <c r="E64" i="29"/>
  <c r="G64" i="29" s="1"/>
  <c r="E63" i="29"/>
  <c r="G63" i="29" s="1"/>
  <c r="E62" i="29"/>
  <c r="G62" i="29" s="1"/>
  <c r="E61" i="29"/>
  <c r="G61" i="29" s="1"/>
  <c r="E60" i="29"/>
  <c r="G60" i="29" s="1"/>
  <c r="G59" i="29"/>
  <c r="E58" i="29"/>
  <c r="G58" i="29" s="1"/>
  <c r="E57" i="29"/>
  <c r="G57" i="29" s="1"/>
  <c r="E56" i="29"/>
  <c r="G56" i="29" s="1"/>
  <c r="E55" i="29"/>
  <c r="G55" i="29" s="1"/>
  <c r="E54" i="29"/>
  <c r="G54" i="29" s="1"/>
  <c r="E53" i="29"/>
  <c r="G53" i="29" s="1"/>
  <c r="E52" i="29"/>
  <c r="G52" i="29" s="1"/>
  <c r="G51" i="29"/>
  <c r="G40" i="29"/>
  <c r="G39" i="29"/>
  <c r="G38" i="29"/>
  <c r="G37" i="29"/>
  <c r="G36" i="29"/>
  <c r="G35" i="29"/>
  <c r="G34" i="29"/>
  <c r="G33" i="29"/>
  <c r="G32" i="29"/>
  <c r="G31" i="29"/>
  <c r="G30" i="29"/>
  <c r="G29" i="29"/>
  <c r="G28" i="29"/>
  <c r="G27" i="29"/>
  <c r="G26" i="29"/>
  <c r="E24" i="29"/>
  <c r="G24" i="29" s="1"/>
  <c r="E23" i="29"/>
  <c r="G23" i="29" s="1"/>
  <c r="E22" i="29"/>
  <c r="G22" i="29" s="1"/>
  <c r="E21" i="29"/>
  <c r="G21" i="29" s="1"/>
  <c r="E20" i="29"/>
  <c r="G20" i="29" s="1"/>
  <c r="E19" i="29"/>
  <c r="G19" i="29" s="1"/>
  <c r="E18" i="29"/>
  <c r="G18" i="29" s="1"/>
  <c r="E17" i="29"/>
  <c r="G17" i="29" s="1"/>
  <c r="E16" i="29"/>
  <c r="G16" i="29" s="1"/>
  <c r="E15" i="29"/>
  <c r="G15" i="29" s="1"/>
  <c r="E14" i="29"/>
  <c r="G14" i="29" s="1"/>
  <c r="E13" i="29"/>
  <c r="G13" i="29" s="1"/>
  <c r="E12" i="29"/>
  <c r="G12" i="29" s="1"/>
  <c r="E11" i="29"/>
  <c r="G11" i="29" s="1"/>
  <c r="E10" i="29"/>
  <c r="G10" i="29" s="1"/>
  <c r="E9" i="29"/>
  <c r="G9" i="29" s="1"/>
  <c r="G8" i="29"/>
  <c r="P4" i="29"/>
  <c r="D4" i="29"/>
  <c r="R3" i="29"/>
  <c r="L3" i="29"/>
  <c r="S387" i="28"/>
  <c r="S386" i="28"/>
  <c r="S385" i="28"/>
  <c r="S384" i="28"/>
  <c r="S383" i="28"/>
  <c r="S382" i="28"/>
  <c r="S381" i="28"/>
  <c r="S380" i="28"/>
  <c r="S379" i="28"/>
  <c r="S378" i="28"/>
  <c r="S377" i="28"/>
  <c r="S376" i="28"/>
  <c r="S375" i="28"/>
  <c r="S374" i="28"/>
  <c r="S373" i="28"/>
  <c r="S372" i="28"/>
  <c r="S371" i="28"/>
  <c r="S370" i="28"/>
  <c r="S369" i="28"/>
  <c r="S368" i="28"/>
  <c r="S367" i="28"/>
  <c r="S366" i="28"/>
  <c r="S365" i="28"/>
  <c r="S364" i="28"/>
  <c r="S363" i="28"/>
  <c r="S362" i="28"/>
  <c r="E314" i="28"/>
  <c r="E313" i="28"/>
  <c r="E312" i="28"/>
  <c r="D312" i="28"/>
  <c r="E303" i="28"/>
  <c r="D303" i="28"/>
  <c r="R288" i="28"/>
  <c r="P286" i="28"/>
  <c r="P290" i="28" s="1"/>
  <c r="G274" i="28"/>
  <c r="G267" i="28"/>
  <c r="G266" i="28"/>
  <c r="G265" i="28"/>
  <c r="G264" i="28"/>
  <c r="G263" i="28"/>
  <c r="G262" i="28"/>
  <c r="G261" i="28"/>
  <c r="G260" i="28"/>
  <c r="G259" i="28"/>
  <c r="G258" i="28"/>
  <c r="G257" i="28"/>
  <c r="G256" i="28"/>
  <c r="G255" i="28"/>
  <c r="G254" i="28"/>
  <c r="G253" i="28"/>
  <c r="G252" i="28"/>
  <c r="G250" i="28"/>
  <c r="G249" i="28"/>
  <c r="G248" i="28"/>
  <c r="G247" i="28"/>
  <c r="G246" i="28"/>
  <c r="G245" i="28"/>
  <c r="G244" i="28"/>
  <c r="G243" i="28"/>
  <c r="G242" i="28"/>
  <c r="G241" i="28"/>
  <c r="G240" i="28"/>
  <c r="G239" i="28"/>
  <c r="G238" i="28"/>
  <c r="G237" i="28"/>
  <c r="G236" i="28"/>
  <c r="G235" i="28"/>
  <c r="G234" i="28"/>
  <c r="E232" i="28"/>
  <c r="G232" i="28" s="1"/>
  <c r="E231" i="28"/>
  <c r="G231" i="28" s="1"/>
  <c r="G230" i="28"/>
  <c r="G229" i="28"/>
  <c r="G228" i="28"/>
  <c r="G227" i="28"/>
  <c r="G123" i="28"/>
  <c r="G122" i="28"/>
  <c r="G121" i="28"/>
  <c r="E120" i="28"/>
  <c r="G120" i="28" s="1"/>
  <c r="E119" i="28"/>
  <c r="G119" i="28" s="1"/>
  <c r="E118" i="28"/>
  <c r="G118" i="28" s="1"/>
  <c r="E117" i="28"/>
  <c r="G117" i="28" s="1"/>
  <c r="E116" i="28"/>
  <c r="G116" i="28" s="1"/>
  <c r="E115" i="28"/>
  <c r="G115" i="28" s="1"/>
  <c r="E114" i="28"/>
  <c r="G114" i="28" s="1"/>
  <c r="E113" i="28"/>
  <c r="G113" i="28" s="1"/>
  <c r="E112" i="28"/>
  <c r="G112" i="28" s="1"/>
  <c r="E111" i="28"/>
  <c r="G111" i="28" s="1"/>
  <c r="G110" i="28"/>
  <c r="G109" i="28"/>
  <c r="G108" i="28"/>
  <c r="G107" i="28"/>
  <c r="G106" i="28"/>
  <c r="E104" i="28"/>
  <c r="G104" i="28" s="1"/>
  <c r="E103" i="28"/>
  <c r="G103" i="28" s="1"/>
  <c r="E102" i="28"/>
  <c r="G102" i="28" s="1"/>
  <c r="E101" i="28"/>
  <c r="G101" i="28" s="1"/>
  <c r="E100" i="28"/>
  <c r="G100" i="28" s="1"/>
  <c r="G99" i="28"/>
  <c r="E99" i="28"/>
  <c r="G98" i="28"/>
  <c r="G97" i="28"/>
  <c r="G96" i="28"/>
  <c r="E94" i="28"/>
  <c r="G94" i="28" s="1"/>
  <c r="E93" i="28"/>
  <c r="G93" i="28" s="1"/>
  <c r="E92" i="28"/>
  <c r="G92" i="28" s="1"/>
  <c r="G91" i="28"/>
  <c r="E91" i="28"/>
  <c r="E90" i="28"/>
  <c r="G90" i="28" s="1"/>
  <c r="G89" i="28"/>
  <c r="G88" i="28"/>
  <c r="G87" i="28"/>
  <c r="G86" i="28"/>
  <c r="E84" i="28"/>
  <c r="G84" i="28" s="1"/>
  <c r="E83" i="28"/>
  <c r="G83" i="28" s="1"/>
  <c r="E82" i="28"/>
  <c r="G82" i="28" s="1"/>
  <c r="G81" i="28"/>
  <c r="G79" i="28"/>
  <c r="G77" i="28"/>
  <c r="E76" i="28"/>
  <c r="G76" i="28" s="1"/>
  <c r="E75" i="28"/>
  <c r="G75" i="28" s="1"/>
  <c r="G74" i="28"/>
  <c r="E73" i="28"/>
  <c r="G73" i="28" s="1"/>
  <c r="E72" i="28"/>
  <c r="G72" i="28" s="1"/>
  <c r="E71" i="28"/>
  <c r="G71" i="28" s="1"/>
  <c r="E70" i="28"/>
  <c r="G70" i="28" s="1"/>
  <c r="E69" i="28"/>
  <c r="G69" i="28" s="1"/>
  <c r="E68" i="28"/>
  <c r="G68" i="28" s="1"/>
  <c r="G67" i="28"/>
  <c r="E58" i="28"/>
  <c r="G58" i="28" s="1"/>
  <c r="E57" i="28"/>
  <c r="G57" i="28" s="1"/>
  <c r="E56" i="28"/>
  <c r="G56" i="28" s="1"/>
  <c r="E55" i="28"/>
  <c r="G55" i="28" s="1"/>
  <c r="E54" i="28"/>
  <c r="G54" i="28" s="1"/>
  <c r="E53" i="28"/>
  <c r="G53" i="28" s="1"/>
  <c r="E52" i="28"/>
  <c r="G52" i="28" s="1"/>
  <c r="G51" i="28"/>
  <c r="G40" i="28"/>
  <c r="G39" i="28"/>
  <c r="G38" i="28"/>
  <c r="G37" i="28"/>
  <c r="G36" i="28"/>
  <c r="G35" i="28"/>
  <c r="G34" i="28"/>
  <c r="G33" i="28"/>
  <c r="G32" i="28"/>
  <c r="G31" i="28"/>
  <c r="G30" i="28"/>
  <c r="G29" i="28"/>
  <c r="G28" i="28"/>
  <c r="G27" i="28"/>
  <c r="G26" i="28"/>
  <c r="E24" i="28"/>
  <c r="G24" i="28" s="1"/>
  <c r="E23" i="28"/>
  <c r="G23" i="28" s="1"/>
  <c r="E22" i="28"/>
  <c r="G22" i="28" s="1"/>
  <c r="E21" i="28"/>
  <c r="G21" i="28" s="1"/>
  <c r="E20" i="28"/>
  <c r="G20" i="28" s="1"/>
  <c r="E19" i="28"/>
  <c r="G19" i="28" s="1"/>
  <c r="E18" i="28"/>
  <c r="G18" i="28" s="1"/>
  <c r="E17" i="28"/>
  <c r="G17" i="28" s="1"/>
  <c r="E16" i="28"/>
  <c r="G16" i="28" s="1"/>
  <c r="E15" i="28"/>
  <c r="G15" i="28" s="1"/>
  <c r="E14" i="28"/>
  <c r="G14" i="28" s="1"/>
  <c r="E13" i="28"/>
  <c r="G13" i="28" s="1"/>
  <c r="E12" i="28"/>
  <c r="G12" i="28" s="1"/>
  <c r="E11" i="28"/>
  <c r="G11" i="28" s="1"/>
  <c r="E10" i="28"/>
  <c r="G10" i="28" s="1"/>
  <c r="E9" i="28"/>
  <c r="G9" i="28" s="1"/>
  <c r="G8" i="28"/>
  <c r="P4" i="28"/>
  <c r="D4" i="28"/>
  <c r="R3" i="28"/>
  <c r="L3" i="28"/>
  <c r="G60" i="27"/>
  <c r="S404" i="29" l="1"/>
  <c r="T404" i="29"/>
  <c r="T406" i="29" s="1"/>
  <c r="G408" i="29"/>
  <c r="G406" i="29"/>
  <c r="P406" i="29"/>
  <c r="G288" i="28"/>
  <c r="G290" i="28"/>
  <c r="S286" i="28"/>
  <c r="T286" i="28"/>
  <c r="T288" i="28" s="1"/>
  <c r="P288" i="28"/>
  <c r="E318" i="27"/>
  <c r="G396" i="27"/>
  <c r="E347" i="27" l="1"/>
  <c r="E340" i="27"/>
  <c r="G246" i="27"/>
  <c r="G245" i="27"/>
  <c r="G244" i="27"/>
  <c r="E247" i="27"/>
  <c r="G247" i="27"/>
  <c r="E248" i="27"/>
  <c r="G248" i="27" s="1"/>
  <c r="E249" i="27"/>
  <c r="G249" i="27" s="1"/>
  <c r="E250" i="27"/>
  <c r="G250" i="27" s="1"/>
  <c r="G308" i="27"/>
  <c r="G307" i="27"/>
  <c r="G306" i="27"/>
  <c r="G356" i="27"/>
  <c r="G355" i="27"/>
  <c r="G92" i="27"/>
  <c r="G91" i="27"/>
  <c r="G90" i="27"/>
  <c r="G89" i="27"/>
  <c r="G88" i="27"/>
  <c r="G80" i="27"/>
  <c r="G79" i="27"/>
  <c r="G78" i="27"/>
  <c r="G104" i="27"/>
  <c r="G70" i="27"/>
  <c r="G69" i="27"/>
  <c r="G68" i="27"/>
  <c r="G279" i="27"/>
  <c r="G278" i="27"/>
  <c r="G277" i="27"/>
  <c r="G276" i="27"/>
  <c r="G334" i="27"/>
  <c r="E336" i="27"/>
  <c r="G336" i="27" s="1"/>
  <c r="G331" i="27"/>
  <c r="E329" i="27"/>
  <c r="G329" i="27" s="1"/>
  <c r="G192" i="27"/>
  <c r="G191" i="27"/>
  <c r="G190" i="27"/>
  <c r="E193" i="27"/>
  <c r="G193" i="27"/>
  <c r="E194" i="27"/>
  <c r="G194" i="27" s="1"/>
  <c r="E195" i="27"/>
  <c r="G195" i="27" s="1"/>
  <c r="E196" i="27"/>
  <c r="G196" i="27"/>
  <c r="G380" i="27"/>
  <c r="G386" i="27"/>
  <c r="G387" i="27"/>
  <c r="G40" i="27"/>
  <c r="G39" i="27"/>
  <c r="G38" i="27"/>
  <c r="G37" i="27"/>
  <c r="G36" i="27"/>
  <c r="G35" i="27"/>
  <c r="G34" i="27"/>
  <c r="G33" i="27"/>
  <c r="G32" i="27"/>
  <c r="G31" i="27"/>
  <c r="G30" i="27"/>
  <c r="G29" i="27"/>
  <c r="G28" i="27"/>
  <c r="G27" i="27"/>
  <c r="G26" i="27"/>
  <c r="G184" i="27"/>
  <c r="G183" i="27"/>
  <c r="G182" i="27"/>
  <c r="G181" i="27"/>
  <c r="G180" i="27"/>
  <c r="G179" i="27"/>
  <c r="G178" i="27"/>
  <c r="G177" i="27"/>
  <c r="G176" i="27"/>
  <c r="G175" i="27"/>
  <c r="G174" i="27"/>
  <c r="G173" i="27"/>
  <c r="G172" i="27"/>
  <c r="G171" i="27"/>
  <c r="G170" i="27"/>
  <c r="G169" i="27"/>
  <c r="G168" i="27"/>
  <c r="G166" i="27"/>
  <c r="G165" i="27"/>
  <c r="G164" i="27"/>
  <c r="G163" i="27"/>
  <c r="G162" i="27"/>
  <c r="G161" i="27"/>
  <c r="G160" i="27"/>
  <c r="G159" i="27"/>
  <c r="G158" i="27"/>
  <c r="G157" i="27"/>
  <c r="G156" i="27"/>
  <c r="G155" i="27"/>
  <c r="G154" i="27"/>
  <c r="G153" i="27"/>
  <c r="G152" i="27"/>
  <c r="G151" i="27"/>
  <c r="G150" i="27"/>
  <c r="G149" i="27"/>
  <c r="E127" i="27"/>
  <c r="G127" i="27" s="1"/>
  <c r="G147" i="27"/>
  <c r="G146" i="27"/>
  <c r="G145" i="27"/>
  <c r="G144" i="27"/>
  <c r="G143" i="27"/>
  <c r="G142" i="27"/>
  <c r="G141" i="27"/>
  <c r="G140" i="27"/>
  <c r="G139" i="27"/>
  <c r="G138" i="27"/>
  <c r="G137" i="27"/>
  <c r="G136" i="27"/>
  <c r="G135" i="27"/>
  <c r="G134" i="27"/>
  <c r="G133" i="27"/>
  <c r="G132" i="27"/>
  <c r="G131" i="27"/>
  <c r="G130" i="27"/>
  <c r="G129" i="27"/>
  <c r="G389" i="27" l="1"/>
  <c r="G388" i="27"/>
  <c r="G385" i="27"/>
  <c r="G384" i="27"/>
  <c r="G383" i="27"/>
  <c r="G382" i="27"/>
  <c r="G381" i="27"/>
  <c r="G379" i="27"/>
  <c r="G378" i="27"/>
  <c r="G377" i="27"/>
  <c r="G376" i="27"/>
  <c r="G375" i="27"/>
  <c r="G372" i="27"/>
  <c r="G371" i="27"/>
  <c r="G370" i="27"/>
  <c r="G369" i="27"/>
  <c r="G368" i="27"/>
  <c r="G367" i="27"/>
  <c r="G366" i="27"/>
  <c r="G365" i="27"/>
  <c r="G364" i="27"/>
  <c r="G363" i="27"/>
  <c r="G362" i="27"/>
  <c r="G361" i="27"/>
  <c r="G360" i="27"/>
  <c r="G359" i="27"/>
  <c r="G358" i="27"/>
  <c r="G357" i="27"/>
  <c r="E353" i="27"/>
  <c r="G353" i="27" s="1"/>
  <c r="E352" i="27"/>
  <c r="G352" i="27" s="1"/>
  <c r="G351" i="27"/>
  <c r="G350" i="27"/>
  <c r="G349" i="27"/>
  <c r="G348" i="27"/>
  <c r="G347" i="27"/>
  <c r="E346" i="27"/>
  <c r="G346" i="27" s="1"/>
  <c r="E345" i="27"/>
  <c r="G345" i="27" s="1"/>
  <c r="E344" i="27"/>
  <c r="G344" i="27" s="1"/>
  <c r="E343" i="27"/>
  <c r="G343" i="27" s="1"/>
  <c r="E342" i="27"/>
  <c r="G342" i="27" s="1"/>
  <c r="E341" i="27"/>
  <c r="G341" i="27" s="1"/>
  <c r="G340" i="27"/>
  <c r="E339" i="27"/>
  <c r="G339" i="27" s="1"/>
  <c r="E338" i="27"/>
  <c r="G338" i="27" s="1"/>
  <c r="E337" i="27"/>
  <c r="G337" i="27" s="1"/>
  <c r="E335" i="27"/>
  <c r="G335" i="27" s="1"/>
  <c r="E333" i="27"/>
  <c r="G333" i="27" s="1"/>
  <c r="E332" i="27"/>
  <c r="G332" i="27" s="1"/>
  <c r="E330" i="27"/>
  <c r="G330" i="27" s="1"/>
  <c r="E328" i="27"/>
  <c r="G328" i="27" s="1"/>
  <c r="E327" i="27"/>
  <c r="G327" i="27" s="1"/>
  <c r="E326" i="27"/>
  <c r="G326" i="27" s="1"/>
  <c r="E325" i="27"/>
  <c r="G325" i="27" s="1"/>
  <c r="G322" i="27"/>
  <c r="E321" i="27"/>
  <c r="G321" i="27" s="1"/>
  <c r="E320" i="27"/>
  <c r="G320" i="27" s="1"/>
  <c r="E319" i="27"/>
  <c r="G319" i="27" s="1"/>
  <c r="G318" i="27"/>
  <c r="E317" i="27"/>
  <c r="G317" i="27" s="1"/>
  <c r="E316" i="27"/>
  <c r="G316" i="27" s="1"/>
  <c r="E315" i="27"/>
  <c r="G315" i="27" s="1"/>
  <c r="E312" i="27"/>
  <c r="G312" i="27" s="1"/>
  <c r="E311" i="27"/>
  <c r="G311" i="27" s="1"/>
  <c r="E310" i="27"/>
  <c r="G310" i="27" s="1"/>
  <c r="E309" i="27"/>
  <c r="G309" i="27" s="1"/>
  <c r="E304" i="27"/>
  <c r="G304" i="27" s="1"/>
  <c r="E303" i="27"/>
  <c r="G303" i="27" s="1"/>
  <c r="E302" i="27"/>
  <c r="G302" i="27" s="1"/>
  <c r="G301" i="27"/>
  <c r="E301" i="27"/>
  <c r="E300" i="27"/>
  <c r="G300" i="27" s="1"/>
  <c r="E299" i="27"/>
  <c r="G299" i="27" s="1"/>
  <c r="E298" i="27"/>
  <c r="G298" i="27" s="1"/>
  <c r="E297" i="27"/>
  <c r="G297" i="27" s="1"/>
  <c r="G296" i="27"/>
  <c r="E296" i="27"/>
  <c r="E295" i="27"/>
  <c r="G295" i="27" s="1"/>
  <c r="E294" i="27"/>
  <c r="G294" i="27" s="1"/>
  <c r="E293" i="27"/>
  <c r="G293" i="27" s="1"/>
  <c r="E292" i="27"/>
  <c r="G292" i="27" s="1"/>
  <c r="E291" i="27"/>
  <c r="G291" i="27" s="1"/>
  <c r="E290" i="27"/>
  <c r="G290" i="27" s="1"/>
  <c r="E289" i="27"/>
  <c r="G289" i="27" s="1"/>
  <c r="E288" i="27"/>
  <c r="G288" i="27" s="1"/>
  <c r="E287" i="27"/>
  <c r="G287" i="27" s="1"/>
  <c r="E286" i="27"/>
  <c r="G286" i="27" s="1"/>
  <c r="E285" i="27"/>
  <c r="G285" i="27" s="1"/>
  <c r="E284" i="27"/>
  <c r="G284" i="27" s="1"/>
  <c r="E282" i="27"/>
  <c r="G282" i="27" s="1"/>
  <c r="E281" i="27"/>
  <c r="G281" i="27" s="1"/>
  <c r="E280" i="27"/>
  <c r="G280" i="27" s="1"/>
  <c r="E274" i="27"/>
  <c r="G274" i="27" s="1"/>
  <c r="E273" i="27"/>
  <c r="G273" i="27" s="1"/>
  <c r="E272" i="27"/>
  <c r="G272" i="27" s="1"/>
  <c r="E271" i="27"/>
  <c r="G271" i="27" s="1"/>
  <c r="E270" i="27"/>
  <c r="G270" i="27" s="1"/>
  <c r="G269" i="27"/>
  <c r="E269" i="27"/>
  <c r="E268" i="27"/>
  <c r="G268" i="27" s="1"/>
  <c r="E267" i="27"/>
  <c r="G267" i="27" s="1"/>
  <c r="E266" i="27"/>
  <c r="G266" i="27" s="1"/>
  <c r="E265" i="27"/>
  <c r="G265" i="27" s="1"/>
  <c r="E264" i="27"/>
  <c r="G264" i="27" s="1"/>
  <c r="G263" i="27"/>
  <c r="E263" i="27"/>
  <c r="E262" i="27"/>
  <c r="G262" i="27" s="1"/>
  <c r="E261" i="27"/>
  <c r="G261" i="27" s="1"/>
  <c r="E260" i="27"/>
  <c r="G260" i="27" s="1"/>
  <c r="E259" i="27"/>
  <c r="G259" i="27" s="1"/>
  <c r="E258" i="27"/>
  <c r="G258" i="27" s="1"/>
  <c r="G257" i="27"/>
  <c r="E257" i="27"/>
  <c r="E256" i="27"/>
  <c r="G256" i="27" s="1"/>
  <c r="E255" i="27"/>
  <c r="G255" i="27" s="1"/>
  <c r="E254" i="27"/>
  <c r="G254" i="27" s="1"/>
  <c r="E253" i="27"/>
  <c r="G253" i="27" s="1"/>
  <c r="G252" i="27"/>
  <c r="E252" i="27"/>
  <c r="E251" i="27"/>
  <c r="G251" i="27" s="1"/>
  <c r="E242" i="27"/>
  <c r="G242" i="27" s="1"/>
  <c r="E241" i="27"/>
  <c r="G241" i="27" s="1"/>
  <c r="E240" i="27"/>
  <c r="G240" i="27" s="1"/>
  <c r="G239" i="27"/>
  <c r="E239" i="27"/>
  <c r="E238" i="27"/>
  <c r="G238" i="27" s="1"/>
  <c r="E237" i="27"/>
  <c r="G237" i="27" s="1"/>
  <c r="E236" i="27"/>
  <c r="G236" i="27" s="1"/>
  <c r="G235" i="27"/>
  <c r="E235" i="27"/>
  <c r="E234" i="27"/>
  <c r="G234" i="27" s="1"/>
  <c r="E233" i="27"/>
  <c r="G233" i="27" s="1"/>
  <c r="E232" i="27"/>
  <c r="G232" i="27" s="1"/>
  <c r="E231" i="27"/>
  <c r="G231" i="27" s="1"/>
  <c r="E230" i="27"/>
  <c r="G230" i="27" s="1"/>
  <c r="E229" i="27"/>
  <c r="G229" i="27" s="1"/>
  <c r="E228" i="27"/>
  <c r="G228" i="27" s="1"/>
  <c r="G227" i="27"/>
  <c r="E227" i="27"/>
  <c r="E226" i="27"/>
  <c r="G226" i="27" s="1"/>
  <c r="E225" i="27"/>
  <c r="G225" i="27" s="1"/>
  <c r="E224" i="27"/>
  <c r="G224" i="27" s="1"/>
  <c r="G223" i="27"/>
  <c r="E223" i="27"/>
  <c r="E222" i="27"/>
  <c r="G222" i="27" s="1"/>
  <c r="E221" i="27"/>
  <c r="G221" i="27" s="1"/>
  <c r="E220" i="27"/>
  <c r="G220" i="27" s="1"/>
  <c r="G219" i="27"/>
  <c r="E219" i="27"/>
  <c r="E218" i="27"/>
  <c r="G218" i="27" s="1"/>
  <c r="E217" i="27"/>
  <c r="G217" i="27" s="1"/>
  <c r="G216" i="27"/>
  <c r="E216" i="27"/>
  <c r="E215" i="27"/>
  <c r="G215" i="27" s="1"/>
  <c r="E214" i="27"/>
  <c r="G214" i="27" s="1"/>
  <c r="E213" i="27"/>
  <c r="G213" i="27" s="1"/>
  <c r="G212" i="27"/>
  <c r="E212" i="27"/>
  <c r="E211" i="27"/>
  <c r="G211" i="27" s="1"/>
  <c r="E210" i="27"/>
  <c r="G210" i="27" s="1"/>
  <c r="G209" i="27"/>
  <c r="E209" i="27"/>
  <c r="E208" i="27"/>
  <c r="G208" i="27" s="1"/>
  <c r="E207" i="27"/>
  <c r="G207" i="27" s="1"/>
  <c r="E206" i="27"/>
  <c r="G206" i="27" s="1"/>
  <c r="G205" i="27"/>
  <c r="E205" i="27"/>
  <c r="E204" i="27"/>
  <c r="G204" i="27" s="1"/>
  <c r="E203" i="27"/>
  <c r="G203" i="27" s="1"/>
  <c r="E202" i="27"/>
  <c r="G202" i="27" s="1"/>
  <c r="G201" i="27"/>
  <c r="E201" i="27"/>
  <c r="E200" i="27"/>
  <c r="G200" i="27" s="1"/>
  <c r="E199" i="27"/>
  <c r="G199" i="27" s="1"/>
  <c r="E198" i="27"/>
  <c r="G198" i="27" s="1"/>
  <c r="G197" i="27"/>
  <c r="E197" i="27"/>
  <c r="E188" i="27"/>
  <c r="G188" i="27" s="1"/>
  <c r="E187" i="27"/>
  <c r="G187" i="27" s="1"/>
  <c r="E186" i="27"/>
  <c r="G186" i="27" s="1"/>
  <c r="G185" i="27"/>
  <c r="E185" i="27"/>
  <c r="E126" i="27"/>
  <c r="G126" i="27" s="1"/>
  <c r="E125" i="27"/>
  <c r="G125" i="27" s="1"/>
  <c r="E124" i="27"/>
  <c r="G124" i="27" s="1"/>
  <c r="E123" i="27"/>
  <c r="G123" i="27" s="1"/>
  <c r="E122" i="27"/>
  <c r="G122" i="27" s="1"/>
  <c r="E121" i="27"/>
  <c r="G121" i="27" s="1"/>
  <c r="E120" i="27"/>
  <c r="G120" i="27" s="1"/>
  <c r="E119" i="27"/>
  <c r="G119" i="27" s="1"/>
  <c r="E118" i="27"/>
  <c r="G118" i="27" s="1"/>
  <c r="E117" i="27"/>
  <c r="G117" i="27" s="1"/>
  <c r="E116" i="27"/>
  <c r="G116" i="27" s="1"/>
  <c r="E115" i="27"/>
  <c r="G115" i="27" s="1"/>
  <c r="E114" i="27"/>
  <c r="G114" i="27" s="1"/>
  <c r="E113" i="27"/>
  <c r="G113" i="27" s="1"/>
  <c r="E112" i="27"/>
  <c r="G112" i="27" s="1"/>
  <c r="E111" i="27"/>
  <c r="G111" i="27" s="1"/>
  <c r="E110" i="27"/>
  <c r="G110" i="27" s="1"/>
  <c r="E109" i="27"/>
  <c r="G109" i="27" s="1"/>
  <c r="E108" i="27"/>
  <c r="G108" i="27" s="1"/>
  <c r="G107" i="27"/>
  <c r="E107" i="27"/>
  <c r="G106" i="27"/>
  <c r="G105" i="27"/>
  <c r="G103" i="27"/>
  <c r="E102" i="27"/>
  <c r="G102" i="27" s="1"/>
  <c r="E101" i="27"/>
  <c r="G101" i="27" s="1"/>
  <c r="E100" i="27"/>
  <c r="G100" i="27" s="1"/>
  <c r="E99" i="27"/>
  <c r="G99" i="27" s="1"/>
  <c r="E98" i="27"/>
  <c r="G98" i="27" s="1"/>
  <c r="E97" i="27"/>
  <c r="G97" i="27" s="1"/>
  <c r="E96" i="27"/>
  <c r="G96" i="27" s="1"/>
  <c r="E95" i="27"/>
  <c r="G95" i="27" s="1"/>
  <c r="E94" i="27"/>
  <c r="G94" i="27" s="1"/>
  <c r="E93" i="27"/>
  <c r="G93" i="27" s="1"/>
  <c r="E86" i="27"/>
  <c r="G86" i="27" s="1"/>
  <c r="E85" i="27"/>
  <c r="G85" i="27" s="1"/>
  <c r="E84" i="27"/>
  <c r="G84" i="27" s="1"/>
  <c r="E83" i="27"/>
  <c r="G83" i="27" s="1"/>
  <c r="E82" i="27"/>
  <c r="G82" i="27" s="1"/>
  <c r="G81" i="27"/>
  <c r="E81" i="27"/>
  <c r="E76" i="27"/>
  <c r="G76" i="27" s="1"/>
  <c r="E75" i="27"/>
  <c r="G75" i="27" s="1"/>
  <c r="E74" i="27"/>
  <c r="G74" i="27" s="1"/>
  <c r="G73" i="27"/>
  <c r="E73" i="27"/>
  <c r="E72" i="27"/>
  <c r="G72" i="27" s="1"/>
  <c r="G71" i="27"/>
  <c r="E66" i="27"/>
  <c r="G66" i="27" s="1"/>
  <c r="E65" i="27"/>
  <c r="G65" i="27" s="1"/>
  <c r="E64" i="27"/>
  <c r="G64" i="27" s="1"/>
  <c r="G63" i="27"/>
  <c r="G61" i="27"/>
  <c r="G59" i="27"/>
  <c r="E58" i="27"/>
  <c r="G58" i="27" s="1"/>
  <c r="E57" i="27"/>
  <c r="G57" i="27" s="1"/>
  <c r="G56" i="27"/>
  <c r="E55" i="27"/>
  <c r="G55" i="27" s="1"/>
  <c r="E54" i="27"/>
  <c r="G54" i="27" s="1"/>
  <c r="E53" i="27"/>
  <c r="G53" i="27" s="1"/>
  <c r="E52" i="27"/>
  <c r="G52" i="27" s="1"/>
  <c r="E51" i="27"/>
  <c r="G51" i="27" s="1"/>
  <c r="E50" i="27"/>
  <c r="G50" i="27" s="1"/>
  <c r="G49" i="27"/>
  <c r="E48" i="27"/>
  <c r="G48" i="27" s="1"/>
  <c r="E47" i="27"/>
  <c r="G47" i="27" s="1"/>
  <c r="E46" i="27"/>
  <c r="G46" i="27" s="1"/>
  <c r="E45" i="27"/>
  <c r="G45" i="27" s="1"/>
  <c r="E44" i="27"/>
  <c r="G44" i="27" s="1"/>
  <c r="E43" i="27"/>
  <c r="G43" i="27" s="1"/>
  <c r="E42" i="27"/>
  <c r="G42" i="27" s="1"/>
  <c r="G41" i="27"/>
  <c r="E24" i="27"/>
  <c r="G24" i="27" s="1"/>
  <c r="E23" i="27"/>
  <c r="G23" i="27" s="1"/>
  <c r="E22" i="27"/>
  <c r="G22" i="27" s="1"/>
  <c r="E21" i="27"/>
  <c r="G21" i="27" s="1"/>
  <c r="E20" i="27"/>
  <c r="G20" i="27" s="1"/>
  <c r="E19" i="27"/>
  <c r="G19" i="27" s="1"/>
  <c r="E18" i="27"/>
  <c r="G18" i="27" s="1"/>
  <c r="E17" i="27"/>
  <c r="G17" i="27" s="1"/>
  <c r="E16" i="27"/>
  <c r="G16" i="27" s="1"/>
  <c r="E15" i="27"/>
  <c r="G15" i="27" s="1"/>
  <c r="E14" i="27"/>
  <c r="G14" i="27" s="1"/>
  <c r="E13" i="27"/>
  <c r="G13" i="27" s="1"/>
  <c r="E12" i="27"/>
  <c r="G12" i="27" s="1"/>
  <c r="E11" i="27"/>
  <c r="G11" i="27" s="1"/>
  <c r="E10" i="27"/>
  <c r="G10" i="27" s="1"/>
  <c r="E9" i="27"/>
  <c r="G9" i="27" s="1"/>
  <c r="G8" i="27"/>
  <c r="P407" i="27"/>
  <c r="S407" i="27" s="1"/>
  <c r="R409" i="27"/>
  <c r="D424" i="27"/>
  <c r="E424" i="27"/>
  <c r="D433" i="27"/>
  <c r="E433" i="27"/>
  <c r="E434" i="27"/>
  <c r="E435" i="27"/>
  <c r="S483" i="27"/>
  <c r="S484" i="27"/>
  <c r="S485" i="27"/>
  <c r="S486" i="27"/>
  <c r="T407" i="27" l="1"/>
  <c r="T409" i="27" s="1"/>
  <c r="G409" i="27"/>
  <c r="G411" i="27"/>
  <c r="P409" i="27"/>
  <c r="P411" i="27"/>
  <c r="S508" i="27"/>
  <c r="S507" i="27"/>
  <c r="S506" i="27"/>
  <c r="S505" i="27"/>
  <c r="S504" i="27"/>
  <c r="S503" i="27"/>
  <c r="S502" i="27"/>
  <c r="S501" i="27"/>
  <c r="S500" i="27"/>
  <c r="S499" i="27"/>
  <c r="S498" i="27"/>
  <c r="S497" i="27"/>
  <c r="S496" i="27"/>
  <c r="S495" i="27"/>
  <c r="S494" i="27"/>
  <c r="S493" i="27"/>
  <c r="S492" i="27"/>
  <c r="S491" i="27"/>
  <c r="S490" i="27"/>
  <c r="S489" i="27"/>
  <c r="S488" i="27"/>
  <c r="S487" i="27"/>
  <c r="P4" i="27"/>
  <c r="D4" i="27"/>
  <c r="R3" i="27"/>
  <c r="L3" i="27"/>
</calcChain>
</file>

<file path=xl/sharedStrings.xml><?xml version="1.0" encoding="utf-8"?>
<sst xmlns="http://schemas.openxmlformats.org/spreadsheetml/2006/main" count="5836" uniqueCount="990">
  <si>
    <t>Termin dostawy:</t>
  </si>
  <si>
    <t xml:space="preserve">Nazwa urządzenia: </t>
  </si>
  <si>
    <t>L.p.</t>
  </si>
  <si>
    <t>Nazwa zespołu</t>
  </si>
  <si>
    <t>Nr rys.</t>
  </si>
  <si>
    <t>Ilość</t>
  </si>
  <si>
    <t>Nr zamówienia</t>
  </si>
  <si>
    <t>Kooperant</t>
  </si>
  <si>
    <t>Uwagi</t>
  </si>
  <si>
    <t>Nr zlecenia:</t>
  </si>
  <si>
    <t>Data:</t>
  </si>
  <si>
    <t>wersja</t>
  </si>
  <si>
    <t>Razem:</t>
  </si>
  <si>
    <t>Magazyn PZ</t>
  </si>
  <si>
    <t>Uwagi:</t>
  </si>
  <si>
    <t>Produkcja</t>
  </si>
  <si>
    <t>Różnica</t>
  </si>
  <si>
    <t>Kwota różnicy</t>
  </si>
  <si>
    <t>Koszty z zamowień</t>
  </si>
  <si>
    <t>Różnica:</t>
  </si>
  <si>
    <t>Razem;</t>
  </si>
  <si>
    <t>Różnica oferta/zamowienia</t>
  </si>
  <si>
    <t>Cena</t>
  </si>
  <si>
    <t xml:space="preserve">Koszt kpl. </t>
  </si>
  <si>
    <t>Cena /koszty z zamówień</t>
  </si>
  <si>
    <t>Cena z oferty</t>
  </si>
  <si>
    <t>Koszt  (kpl) zakładany -oferta</t>
  </si>
  <si>
    <t>Cena/koszty przyjęte do oferty</t>
  </si>
  <si>
    <t>Koszty do ofertty:</t>
  </si>
  <si>
    <t>Gatunek</t>
  </si>
  <si>
    <t>Masa</t>
  </si>
  <si>
    <t>jedn.</t>
  </si>
  <si>
    <t>kpl.</t>
  </si>
  <si>
    <t>POZOSTAŁE:</t>
  </si>
  <si>
    <t>Data</t>
  </si>
  <si>
    <t>Realizacji</t>
  </si>
  <si>
    <t xml:space="preserve"> Wysyłki</t>
  </si>
  <si>
    <t>Wypalarka</t>
  </si>
  <si>
    <t>Lakiernia</t>
  </si>
  <si>
    <t>Montaż</t>
  </si>
  <si>
    <t>GWARANCJA:</t>
  </si>
  <si>
    <t>Śr. koszt kilograma konstr.</t>
  </si>
  <si>
    <t>Materiałówka</t>
  </si>
  <si>
    <t>\\k1\Konstrukcyjny\Projekty-2\Harmonogramy\</t>
  </si>
  <si>
    <t>Rodzaj</t>
  </si>
  <si>
    <t>Legenda rodzaj - kolor komórki:
"H" - handlowy - żółty,
"M" - materiał - jasnobrązowy,
"Z" - zespół - przezroczysty,
"R" - remont - szary,
"W" - wstrzymane - czerwony</t>
  </si>
  <si>
    <t>Lp</t>
  </si>
  <si>
    <t>Dział</t>
  </si>
  <si>
    <t>Składnik kosztów</t>
  </si>
  <si>
    <t>Wartość zakładana</t>
  </si>
  <si>
    <t>Wartość rzeczywista</t>
  </si>
  <si>
    <t>DL</t>
  </si>
  <si>
    <t>Koszt kooperacji [PLN]</t>
  </si>
  <si>
    <t>Masa całkowita [kg]</t>
  </si>
  <si>
    <t>DP</t>
  </si>
  <si>
    <t>Masa SIGMA  [kg]</t>
  </si>
  <si>
    <t>Masa Kooperacja [kg]</t>
  </si>
  <si>
    <t>MONT</t>
  </si>
  <si>
    <t>Rozchód materiałów [kg]</t>
  </si>
  <si>
    <t>suma</t>
  </si>
  <si>
    <t>Koszt el. handl. [PLN]</t>
  </si>
  <si>
    <t>Rozchód materiałów [PLN]</t>
  </si>
  <si>
    <t>Koszt godz. DP [PLN]</t>
  </si>
  <si>
    <t>Przygotował bieżącą wer.:</t>
  </si>
  <si>
    <t>Prowadzący zlecenie:</t>
  </si>
  <si>
    <t>Godziny DP [ilość rbh]</t>
  </si>
  <si>
    <t>Godziny montażowe [ilość rbh]</t>
  </si>
  <si>
    <t>Godziny montażowe zew. [ilość rbh]</t>
  </si>
  <si>
    <t>Koszt kg stali z rozchodów</t>
  </si>
  <si>
    <t>Odpad</t>
  </si>
  <si>
    <t>Materiał</t>
  </si>
  <si>
    <t>Piła</t>
  </si>
  <si>
    <t>Krawdziarka</t>
  </si>
  <si>
    <t>Mała  durma</t>
  </si>
  <si>
    <t xml:space="preserve">Toczenie </t>
  </si>
  <si>
    <t>Frezowanie</t>
  </si>
  <si>
    <t>Frezowanie CNC</t>
  </si>
  <si>
    <t>Wiercenie</t>
  </si>
  <si>
    <t>Składanie</t>
  </si>
  <si>
    <t>Spawalnie</t>
  </si>
  <si>
    <t>Obróbka cieplna</t>
  </si>
  <si>
    <t>Kontrola Jakości</t>
  </si>
  <si>
    <t>Status</t>
  </si>
  <si>
    <t>Gilotyna</t>
  </si>
  <si>
    <t>1.</t>
  </si>
  <si>
    <t>Michał Stojek</t>
  </si>
  <si>
    <t>1.1</t>
  </si>
  <si>
    <t>1.2</t>
  </si>
  <si>
    <t>1.3</t>
  </si>
  <si>
    <t>1.4</t>
  </si>
  <si>
    <t>1.5</t>
  </si>
  <si>
    <t>1.6</t>
  </si>
  <si>
    <t>1.7</t>
  </si>
  <si>
    <t>1.8</t>
  </si>
  <si>
    <t>1.9</t>
  </si>
  <si>
    <t>1.10</t>
  </si>
  <si>
    <t>1.11</t>
  </si>
  <si>
    <t>1.12</t>
  </si>
  <si>
    <t>1.13</t>
  </si>
  <si>
    <t>1.14</t>
  </si>
  <si>
    <t>1.15</t>
  </si>
  <si>
    <t>1.16</t>
  </si>
  <si>
    <t>Stoły rehabilitacyjne</t>
  </si>
  <si>
    <t>1.17</t>
  </si>
  <si>
    <t>1.18</t>
  </si>
  <si>
    <t>1.19</t>
  </si>
  <si>
    <t>1.20</t>
  </si>
  <si>
    <t>1.21</t>
  </si>
  <si>
    <t>1.22</t>
  </si>
  <si>
    <t>1.23</t>
  </si>
  <si>
    <t>1.24</t>
  </si>
  <si>
    <t>1.25</t>
  </si>
  <si>
    <t>1.26</t>
  </si>
  <si>
    <t>1.27</t>
  </si>
  <si>
    <t>1.28</t>
  </si>
  <si>
    <t>1.29</t>
  </si>
  <si>
    <t>1.30</t>
  </si>
  <si>
    <t>1.31</t>
  </si>
  <si>
    <t>1.32</t>
  </si>
  <si>
    <t>Podstawa</t>
  </si>
  <si>
    <t>Ramię I</t>
  </si>
  <si>
    <t>Ramię II</t>
  </si>
  <si>
    <t>Cięgło</t>
  </si>
  <si>
    <t>Obręcz sterująca</t>
  </si>
  <si>
    <t>Mechanizm kółek</t>
  </si>
  <si>
    <t>Blacha 2x127x273</t>
  </si>
  <si>
    <t>S235JR</t>
  </si>
  <si>
    <t>Pręt Ø20x255</t>
  </si>
  <si>
    <t>Wyłącznik krańcowy Dewert M1up</t>
  </si>
  <si>
    <t xml:space="preserve">Wyłącznik krańcowy Dewert M1down </t>
  </si>
  <si>
    <t>QFG-16222</t>
  </si>
  <si>
    <t>Dławik przewodu fi 8</t>
  </si>
  <si>
    <t>GFM-202329-20</t>
  </si>
  <si>
    <t>Łożysko ślizgowe z kołnierzem</t>
  </si>
  <si>
    <t>GFM-1517-20</t>
  </si>
  <si>
    <t>GFM-1012-10</t>
  </si>
  <si>
    <t>Podkładka siodłowa 32</t>
  </si>
  <si>
    <t>Stopka Uni-bis B50-12-040</t>
  </si>
  <si>
    <t>21.0001.01000115.8-70.5</t>
  </si>
  <si>
    <t>Rękojeść gładka Backer fi 10</t>
  </si>
  <si>
    <t>ZP_20x30</t>
  </si>
  <si>
    <t xml:space="preserve">Zaślepki prostokątne wykonane z polietylenu LDPE </t>
  </si>
  <si>
    <t>PN-85/M-82101</t>
  </si>
  <si>
    <t>Śruba z łbem półkolistym i gniazdem sześciokątnym - M4 x 20</t>
  </si>
  <si>
    <t>KIPP K0140.102X30 DIN 646</t>
  </si>
  <si>
    <t>Śruba radełkowana M10 K0140_102X30</t>
  </si>
  <si>
    <t>DIN 653 M8-16-NI</t>
  </si>
  <si>
    <t>Wkręt dociskowy radełkowany Elesa M8x16</t>
  </si>
  <si>
    <t>PN-88/M-82181</t>
  </si>
  <si>
    <t>PN-85/M-82175</t>
  </si>
  <si>
    <t>Nakrętka z wkładką poliamidową M4-8-B-Fe/Zn5</t>
  </si>
  <si>
    <t>DIN 985 - M6</t>
  </si>
  <si>
    <t>Nakrętka</t>
  </si>
  <si>
    <t>PN-77/M-82008</t>
  </si>
  <si>
    <t>Podkład. spręż. Z 8,2 Fe/Zn5</t>
  </si>
  <si>
    <t>1.33</t>
  </si>
  <si>
    <t>1.34</t>
  </si>
  <si>
    <t>1.35</t>
  </si>
  <si>
    <t>1.36</t>
  </si>
  <si>
    <t>1.37</t>
  </si>
  <si>
    <t>1.38</t>
  </si>
  <si>
    <t>1.39</t>
  </si>
  <si>
    <t>H</t>
  </si>
  <si>
    <t>SR-357.14.18.00-7.1</t>
  </si>
  <si>
    <t>Blacha 3x32x88</t>
  </si>
  <si>
    <t>SR-357.14.28.00-7</t>
  </si>
  <si>
    <t>Sworzeń fi 8x45</t>
  </si>
  <si>
    <t>Poliamid PA6</t>
  </si>
  <si>
    <t>SR-357.14.31.00-7</t>
  </si>
  <si>
    <t>Pręt fi 20x12</t>
  </si>
  <si>
    <t>TBD 5774TQ</t>
  </si>
  <si>
    <t>Sprężyna gazowa Block-o-lift 5774TQ skok 152 mm</t>
  </si>
  <si>
    <t>ZDO 15x12 czarna</t>
  </si>
  <si>
    <t>Zaślepka otworu technologicznego fi 12</t>
  </si>
  <si>
    <t>GFM_081014_05</t>
  </si>
  <si>
    <t>Tulejka Igus GFM_081014_05</t>
  </si>
  <si>
    <t>GFM_081014_08</t>
  </si>
  <si>
    <t>Tulejka kołnierzowa Igus GFM_081014_08</t>
  </si>
  <si>
    <t>GSM_0810_06</t>
  </si>
  <si>
    <t>Tulejka Igus GSM_0810_06</t>
  </si>
  <si>
    <t>PN-81/M-85111</t>
  </si>
  <si>
    <t>Pierścień osadczy sprężynujący Z 8</t>
  </si>
  <si>
    <t>ISO 7380</t>
  </si>
  <si>
    <t>DIN 7991</t>
  </si>
  <si>
    <t>Śruba imbusowa stożkowa M5x20</t>
  </si>
  <si>
    <t>PN-86/M-82153</t>
  </si>
  <si>
    <t>Nakrętka niska M8x1-05-B-Fe/Zn5</t>
  </si>
  <si>
    <t>Podkład. spręż. Z 6,1 Fe/Zn5</t>
  </si>
  <si>
    <t>1.11.1</t>
  </si>
  <si>
    <t>1.11.2</t>
  </si>
  <si>
    <t>1.11.3</t>
  </si>
  <si>
    <t>1.11.4</t>
  </si>
  <si>
    <t>1.11.5</t>
  </si>
  <si>
    <t>1.11.6</t>
  </si>
  <si>
    <t>1.11.7</t>
  </si>
  <si>
    <t>1.11.8</t>
  </si>
  <si>
    <t>1.11.9</t>
  </si>
  <si>
    <t>1.11.10</t>
  </si>
  <si>
    <t>1.11.11</t>
  </si>
  <si>
    <t>1.11.12</t>
  </si>
  <si>
    <t>1.11.13</t>
  </si>
  <si>
    <t>1.11.14</t>
  </si>
  <si>
    <t>1.11.15</t>
  </si>
  <si>
    <t>1.11.16</t>
  </si>
  <si>
    <t>1.11.17</t>
  </si>
  <si>
    <t>1.11.18</t>
  </si>
  <si>
    <t>1.11.19</t>
  </si>
  <si>
    <t>1.11.20</t>
  </si>
  <si>
    <t>1.11.21</t>
  </si>
  <si>
    <t>1.11.22</t>
  </si>
  <si>
    <t>1.11.23</t>
  </si>
  <si>
    <t>1.11.24</t>
  </si>
  <si>
    <t>1.11.25</t>
  </si>
  <si>
    <t>M</t>
  </si>
  <si>
    <t>PN-87/M-82302</t>
  </si>
  <si>
    <t>Śruba imbusowa M5x15 Fe/Zn5</t>
  </si>
  <si>
    <t>Pręt Ø25x181</t>
  </si>
  <si>
    <t>Drążek II</t>
  </si>
  <si>
    <t>Pręt Ø20x30</t>
  </si>
  <si>
    <t>Poliamid PA6 (biały)</t>
  </si>
  <si>
    <t>GFM-1416-21</t>
  </si>
  <si>
    <t>PN-78/M-82005</t>
  </si>
  <si>
    <t>Podkładka 8,4 Fe/Zn5</t>
  </si>
  <si>
    <t>TENTE S70-10x15</t>
  </si>
  <si>
    <t>Trzpień gwintowany TENTE S70-10x15</t>
  </si>
  <si>
    <t>1.8.1</t>
  </si>
  <si>
    <t>1.8.2</t>
  </si>
  <si>
    <t>1.8.3</t>
  </si>
  <si>
    <t>1.8.4</t>
  </si>
  <si>
    <t>1.8.5</t>
  </si>
  <si>
    <t>1.8.6</t>
  </si>
  <si>
    <t>1.8.7</t>
  </si>
  <si>
    <t>1.8.8</t>
  </si>
  <si>
    <t>1.8.9</t>
  </si>
  <si>
    <t>1.8.10</t>
  </si>
  <si>
    <t>1.8.11</t>
  </si>
  <si>
    <t>1.8.12</t>
  </si>
  <si>
    <t>Z</t>
  </si>
  <si>
    <t>SR-357.01.01.00-1.1</t>
  </si>
  <si>
    <t>Rura Ø60,3x2,9x1081</t>
  </si>
  <si>
    <t>SR-357.01.02.00</t>
  </si>
  <si>
    <t>Rura Ø42,4x3,6x1395</t>
  </si>
  <si>
    <t>Blacha 3x75x101</t>
  </si>
  <si>
    <t>SR-357.01.07.00-1.1</t>
  </si>
  <si>
    <t>Blacha 3x39x70</t>
  </si>
  <si>
    <t>SR-357.01.09.00-1.3</t>
  </si>
  <si>
    <t>Rura Ø30x3,6x232</t>
  </si>
  <si>
    <t>Blacha 2x71x100</t>
  </si>
  <si>
    <t>SR-357.01.12.00-1.3</t>
  </si>
  <si>
    <t>SR-357.01.12.00-1.3_L</t>
  </si>
  <si>
    <t>SR-357.01.15.00-1.2</t>
  </si>
  <si>
    <t>Rura Ø30x2x70</t>
  </si>
  <si>
    <t>DIN 6334</t>
  </si>
  <si>
    <t>Nakrętka długa M12x26 (obcięta)</t>
  </si>
  <si>
    <t>SR-357.02.01.00-1.2</t>
  </si>
  <si>
    <t>Rura fi30x3,6x594</t>
  </si>
  <si>
    <t>SR-357.02.02.00-1.1</t>
  </si>
  <si>
    <t>Blacha 5x268x276</t>
  </si>
  <si>
    <t>SR-357.02.02.00-1.1_L</t>
  </si>
  <si>
    <t>SR-357.02.03.00-1.3</t>
  </si>
  <si>
    <t>Rura Ø30x3,2x236</t>
  </si>
  <si>
    <t>SR-357.02.05.00-1.1</t>
  </si>
  <si>
    <t>SR-357.02.01.00-1.1</t>
  </si>
  <si>
    <t>SR-357.02.03.00-1.2</t>
  </si>
  <si>
    <t>Rura Ø30x3,2x251</t>
  </si>
  <si>
    <t>SR-357.04.02.00-1.1</t>
  </si>
  <si>
    <t>Tuleja Ø20xØ17x20</t>
  </si>
  <si>
    <t>Rura Ø20x2x465</t>
  </si>
  <si>
    <t>Blacha 4x35x82</t>
  </si>
  <si>
    <t>Pręt Ø20x472</t>
  </si>
  <si>
    <t>Blacha 4x19,5x57</t>
  </si>
  <si>
    <t>Pręt Ø10x230</t>
  </si>
  <si>
    <t>Blacha 3x16x96</t>
  </si>
  <si>
    <t>ANTO-TECH</t>
  </si>
  <si>
    <t>1.40</t>
  </si>
  <si>
    <t>1.41</t>
  </si>
  <si>
    <t>1.42</t>
  </si>
  <si>
    <t>1.43</t>
  </si>
  <si>
    <t>Skrzynka sterująca MCL_II</t>
  </si>
  <si>
    <t>Kabel zasilający do MCL_II</t>
  </si>
  <si>
    <t>Uchwyt do mocowania MCL_II na Megamacie_2</t>
  </si>
  <si>
    <t>Kabel rozgałęziający pilota (1 wtyk/2x gniazdo)</t>
  </si>
  <si>
    <t>Kształt. zam. 40x20x3x330</t>
  </si>
  <si>
    <t>Blacha 4x52x58</t>
  </si>
  <si>
    <t xml:space="preserve"> AISI 304</t>
  </si>
  <si>
    <t>Nitonakrętka A2 M5x13</t>
  </si>
  <si>
    <t>Kształt. zam. 25x25x2x370</t>
  </si>
  <si>
    <t>Kształt. zam. 25x25x2x348</t>
  </si>
  <si>
    <t>SR-357.14.10.03-7.1</t>
  </si>
  <si>
    <t>Blacha 4x25x28</t>
  </si>
  <si>
    <t>1.8.2.1</t>
  </si>
  <si>
    <t>1.8.2.2</t>
  </si>
  <si>
    <t>1.8.2.3</t>
  </si>
  <si>
    <t>1.8.3.1</t>
  </si>
  <si>
    <t>1.8.3.2</t>
  </si>
  <si>
    <t>1.8.3.3</t>
  </si>
  <si>
    <t>1.8.3.4</t>
  </si>
  <si>
    <t>1.8.3.5</t>
  </si>
  <si>
    <t>1.44</t>
  </si>
  <si>
    <t>Rura 14x2x30</t>
  </si>
  <si>
    <t>1.1.1</t>
  </si>
  <si>
    <t>1.1.2</t>
  </si>
  <si>
    <t>1.1.3</t>
  </si>
  <si>
    <t>1.1.4</t>
  </si>
  <si>
    <t>1.1.5</t>
  </si>
  <si>
    <t>1.1.6</t>
  </si>
  <si>
    <t>1.1.7</t>
  </si>
  <si>
    <t>1.1.8</t>
  </si>
  <si>
    <t>1.1.9</t>
  </si>
  <si>
    <t>1.1.10</t>
  </si>
  <si>
    <t>1.1.11</t>
  </si>
  <si>
    <t>1.1.12</t>
  </si>
  <si>
    <t>1.1.13</t>
  </si>
  <si>
    <t>1.1.14</t>
  </si>
  <si>
    <t>1.1.15</t>
  </si>
  <si>
    <t>1.1.16</t>
  </si>
  <si>
    <t>1.2.1</t>
  </si>
  <si>
    <t>1.2.2</t>
  </si>
  <si>
    <t>1.2.3</t>
  </si>
  <si>
    <t>1.2.4</t>
  </si>
  <si>
    <t>1.2.5</t>
  </si>
  <si>
    <t>1.2.6</t>
  </si>
  <si>
    <t>1.2.7</t>
  </si>
  <si>
    <t>1.3.1</t>
  </si>
  <si>
    <t>1.3.2</t>
  </si>
  <si>
    <t>1.3.3</t>
  </si>
  <si>
    <t>1.3.4</t>
  </si>
  <si>
    <t>1.3.5</t>
  </si>
  <si>
    <t>1.3.6</t>
  </si>
  <si>
    <t>1.4.1</t>
  </si>
  <si>
    <t>1.4.2</t>
  </si>
  <si>
    <t>1.7.1</t>
  </si>
  <si>
    <t>1.7.2</t>
  </si>
  <si>
    <t>1.7.3</t>
  </si>
  <si>
    <t>1.11.1.1</t>
  </si>
  <si>
    <t>1.11.1.2</t>
  </si>
  <si>
    <t>1.11.1.3</t>
  </si>
  <si>
    <t>1.11.1.4</t>
  </si>
  <si>
    <t>1.11.1.5</t>
  </si>
  <si>
    <t>1.11.1.6</t>
  </si>
  <si>
    <t>1.11.1.7</t>
  </si>
  <si>
    <t>1.11.1.8</t>
  </si>
  <si>
    <t>1.11.1.9</t>
  </si>
  <si>
    <t>1.11.1.10</t>
  </si>
  <si>
    <t>1.11.1.11</t>
  </si>
  <si>
    <t>1.11.1.12</t>
  </si>
  <si>
    <t>1.11.1.13</t>
  </si>
  <si>
    <t>1.11.1.14</t>
  </si>
  <si>
    <t>1.11.1.15</t>
  </si>
  <si>
    <t>1.11.4.1</t>
  </si>
  <si>
    <t>1.11.4.2</t>
  </si>
  <si>
    <t>1.11.4.3</t>
  </si>
  <si>
    <t>1.11.5.1</t>
  </si>
  <si>
    <t>1.11.5.2</t>
  </si>
  <si>
    <t>1.11.5.3</t>
  </si>
  <si>
    <t>Pręt Ø20x239</t>
  </si>
  <si>
    <t>1.45</t>
  </si>
  <si>
    <t>1.11.26</t>
  </si>
  <si>
    <t>1.11.2.1</t>
  </si>
  <si>
    <t>1.11.2.2</t>
  </si>
  <si>
    <t>Mufa kołnierzowa M6x13mm fi8 Fe/Zn5</t>
  </si>
  <si>
    <t>1.11.2.3</t>
  </si>
  <si>
    <t>Eres Medical</t>
  </si>
  <si>
    <t>1.11.3.1</t>
  </si>
  <si>
    <t>1.11.3.2</t>
  </si>
  <si>
    <t>1.11.3.3</t>
  </si>
  <si>
    <t>Sklejka</t>
  </si>
  <si>
    <t>Blacha 4x27x63</t>
  </si>
  <si>
    <t>ÖLFLEX CLASSIC 110 5G0,75  </t>
  </si>
  <si>
    <t xml:space="preserve">Lapp Kabel </t>
  </si>
  <si>
    <t>Obróbka wstępna: piaskowanie
Gruntowanie
Malowanie proszkowe: 
Pozycja 1. stelaż: biały (RAL 9003 )
Łączna grubość pokrycia: min. 90 µm warstwy suchej
Kooperant: Met-Kolor s.c.
Mariana Rapackiego 20, 20-151 Lublin</t>
  </si>
  <si>
    <t>1.46</t>
  </si>
  <si>
    <t>19.0049.0200100820</t>
  </si>
  <si>
    <t>1.47</t>
  </si>
  <si>
    <t>1.48</t>
  </si>
  <si>
    <t>1.49</t>
  </si>
  <si>
    <t>1.50</t>
  </si>
  <si>
    <t>1.51</t>
  </si>
  <si>
    <t>19.0050.0201025</t>
  </si>
  <si>
    <t>Paweł Sobótka</t>
  </si>
  <si>
    <t>1.52</t>
  </si>
  <si>
    <t>Blacha 3x85x100</t>
  </si>
  <si>
    <t>SR-357.01.10.00-1.4</t>
  </si>
  <si>
    <t>Blacha 6x40x58</t>
  </si>
  <si>
    <t>SR-357.01.11.00-1.4</t>
  </si>
  <si>
    <t>SR-357.01.13.00-1.4</t>
  </si>
  <si>
    <t>Blacha 2x84x103</t>
  </si>
  <si>
    <t>SR-357.14.01.02-7.2</t>
  </si>
  <si>
    <t>SR-357.14.01.11-7.2</t>
  </si>
  <si>
    <t>Blacha 4x33x78</t>
  </si>
  <si>
    <t>SR-357.14.10.01-7.2</t>
  </si>
  <si>
    <t>Rura fi14x2x237,5</t>
  </si>
  <si>
    <t>SR-357.14.10.05-7.2</t>
  </si>
  <si>
    <t>Blacha 2x12x26</t>
  </si>
  <si>
    <t>Rura 14x2x27</t>
  </si>
  <si>
    <t>SR-357.09.01.00-1.4</t>
  </si>
  <si>
    <t>Drążek I</t>
  </si>
  <si>
    <t>SR-357.09.05.00-1.4</t>
  </si>
  <si>
    <t>Kształt. zam. 20x10x1,5x1330</t>
  </si>
  <si>
    <t>1.8.13</t>
  </si>
  <si>
    <t xml:space="preserve">Zaślepka profila Backer 20x10x1,5 </t>
  </si>
  <si>
    <t>Rura Ø20x1,5x1497</t>
  </si>
  <si>
    <t>SR-357.02.06.00-1.4</t>
  </si>
  <si>
    <t>Rura Ø30x3,2x219</t>
  </si>
  <si>
    <t>SR-357.03.01.00-1.4</t>
  </si>
  <si>
    <t>Rura Ø30x3,2x298</t>
  </si>
  <si>
    <t>SR-357.04.01.00-1.4</t>
  </si>
  <si>
    <t>Kształt. zam. 30x20x2x830</t>
  </si>
  <si>
    <t>SR-357.14.26.00-7.2</t>
  </si>
  <si>
    <t>Sworzeń fi 8x57</t>
  </si>
  <si>
    <t>SR-357.14.27.00-7.2</t>
  </si>
  <si>
    <t>Sworzeń fi 8x29</t>
  </si>
  <si>
    <t>1.53</t>
  </si>
  <si>
    <t>1.54</t>
  </si>
  <si>
    <t>TME</t>
  </si>
  <si>
    <t>1.11.27</t>
  </si>
  <si>
    <t>1.11.28</t>
  </si>
  <si>
    <t>Obi</t>
  </si>
  <si>
    <t>WAGO 222-413</t>
  </si>
  <si>
    <t>Złączka: szybkozłączka instalacyjna; 222; PIN:3; z dźwignią; 32A</t>
  </si>
  <si>
    <t>WAGO 222-415</t>
  </si>
  <si>
    <t>Złączka: szybkozłączka instalacyjna; 222; PIN:5; z dźwignią; 32A </t>
  </si>
  <si>
    <t>CONNFLY DS1012-14LNN0A</t>
  </si>
  <si>
    <t>Wtyk; IDC; męskie; PIN:14; IDC; na taśmę; 1,27mm; złocony; 1A</t>
  </si>
  <si>
    <t>AMPHENOL T812114A101CEU</t>
  </si>
  <si>
    <t>Wtyk; IDC; żeńskie; PIN:14; IDC; na taśmę; 1,27mm; złocony</t>
  </si>
  <si>
    <t>1.55</t>
  </si>
  <si>
    <t>1.56</t>
  </si>
  <si>
    <t>1.57</t>
  </si>
  <si>
    <t>1.58</t>
  </si>
  <si>
    <t xml:space="preserve"> SR-357.00.00.00-7.3</t>
  </si>
  <si>
    <t>Stół rehabilitacyjny 7 elementowy</t>
  </si>
  <si>
    <t>SR-357.01.00.00-1.5</t>
  </si>
  <si>
    <t>SR-357.01.04.00-1.5</t>
  </si>
  <si>
    <t>Rura Ø30x3,2x97</t>
  </si>
  <si>
    <t>SR-357.01.05.00-1.5</t>
  </si>
  <si>
    <t>SR-357.01.05.00-1.5_L</t>
  </si>
  <si>
    <t>SR-357.01.06.00-1.5</t>
  </si>
  <si>
    <t>SR-357.01.06.00-1.5_L</t>
  </si>
  <si>
    <t>SR-357.02.00.00-1.5</t>
  </si>
  <si>
    <t>Blacha 5x268x277</t>
  </si>
  <si>
    <t>SR-357.02.04.00-1.5</t>
  </si>
  <si>
    <t>Blacha 4x30x65</t>
  </si>
  <si>
    <t>Pręt Ø15x185</t>
  </si>
  <si>
    <t>SR-357.03.00.00-1.5</t>
  </si>
  <si>
    <t>SR-357.04.00.00-1.4</t>
  </si>
  <si>
    <t>SR-357.06.00.00-1.5</t>
  </si>
  <si>
    <t>Pręt Ø19x310</t>
  </si>
  <si>
    <t>SR-357.07.00.00-1.5</t>
  </si>
  <si>
    <t>Pręt Ø19x388</t>
  </si>
  <si>
    <t>SR-357.08.00.00-1.5</t>
  </si>
  <si>
    <t>SR-357.08.01.00-1.5</t>
  </si>
  <si>
    <t>SR-357.08.02.00-1.5</t>
  </si>
  <si>
    <t>SR-357.08.05.00-1.5</t>
  </si>
  <si>
    <t>SR-357.09.00.00-1.5</t>
  </si>
  <si>
    <t>SR-357.09.02.00-1.5</t>
  </si>
  <si>
    <t>SR-357.09.02.01-1.5</t>
  </si>
  <si>
    <t>SR-357.09.02.02-1.5</t>
  </si>
  <si>
    <t>Blacha 2x19x22</t>
  </si>
  <si>
    <t>SR-357.09.02.03-1.5</t>
  </si>
  <si>
    <t>SR-357.09.03.00-1.5</t>
  </si>
  <si>
    <t>SR-357.09.03.01-1.5</t>
  </si>
  <si>
    <t>SR-357.09.03.01-1.5_L</t>
  </si>
  <si>
    <t>SR-357.09.06.00-1.5</t>
  </si>
  <si>
    <t>592DUAP075L51-10_RAL9002</t>
  </si>
  <si>
    <t>Zestaw kołowy TENTE</t>
  </si>
  <si>
    <t xml:space="preserve">Śruba z łbem półkolistym i gniazdem sześciokątnym - M 8x45, Powłoka - ocynk </t>
  </si>
  <si>
    <t>Śruba z łbem półkolistym i gniazdem sześciokątnym - klasa dokładności A M8x25</t>
  </si>
  <si>
    <t>PN-85/M-82175 - Nakrętka z wkładką poliamidową M8-8-B-Fe/Zn5</t>
  </si>
  <si>
    <t>SR-357.10.00.00-1.5</t>
  </si>
  <si>
    <t>SR-357.12.00.00-1.5</t>
  </si>
  <si>
    <t>SR-357.14.00.00-7.3</t>
  </si>
  <si>
    <t>Blat 7 elementowy</t>
  </si>
  <si>
    <t>SR-357.14.01.00-7.2</t>
  </si>
  <si>
    <t>Rama I</t>
  </si>
  <si>
    <t>SR-357.14.01.01-7.2</t>
  </si>
  <si>
    <t>SR-357.14.01.03-7</t>
  </si>
  <si>
    <t>Kształt. zam. 25x25x2x70</t>
  </si>
  <si>
    <t>SR-357.14.01.04-7.1</t>
  </si>
  <si>
    <t>Kształt. zam. 40x20x3x291</t>
  </si>
  <si>
    <t>SR-357.14.01.06-7.2</t>
  </si>
  <si>
    <t>Blacha 4x29x39</t>
  </si>
  <si>
    <t>SR-357.14.01.07-7.2</t>
  </si>
  <si>
    <t>Kształt. zam. 40x20x3x1268</t>
  </si>
  <si>
    <t>SR-357.14.01.07-7.2_L</t>
  </si>
  <si>
    <t>SR-357.14.01.08-7.2</t>
  </si>
  <si>
    <t>Blacha 6x76x80</t>
  </si>
  <si>
    <t>SR-357.14.01.09-7.2</t>
  </si>
  <si>
    <t>Rura 16x1,5x48</t>
  </si>
  <si>
    <t>SR-357.14.01.10-7.2</t>
  </si>
  <si>
    <t>Blacha 3x38x42</t>
  </si>
  <si>
    <t>SR-357.14.01.12-7.2</t>
  </si>
  <si>
    <t>Blacha 6x80x87</t>
  </si>
  <si>
    <t>SR-357.14.01.16-7.2</t>
  </si>
  <si>
    <t>Kształt. zam. 30x20x2x337</t>
  </si>
  <si>
    <t>SR-357.14.01.17-7.2</t>
  </si>
  <si>
    <t>Pręt fi 12x550</t>
  </si>
  <si>
    <t>SR-357.14.01.18-7</t>
  </si>
  <si>
    <t>Pręt fi 12x501</t>
  </si>
  <si>
    <t>1.11.1.16</t>
  </si>
  <si>
    <t>SR-357.14.01.20-7.2</t>
  </si>
  <si>
    <t>Blacha 2x20x99</t>
  </si>
  <si>
    <t>1.11.1.17</t>
  </si>
  <si>
    <t>SR-357.14.01.21-7.2</t>
  </si>
  <si>
    <t>Blacha 4x26x52</t>
  </si>
  <si>
    <t>1.11.1.18</t>
  </si>
  <si>
    <t>SR-357.14.01.24-7.1</t>
  </si>
  <si>
    <t>Kształt. zam. 30x20x2x292</t>
  </si>
  <si>
    <t>1.11.1.19</t>
  </si>
  <si>
    <t>SR-357.14.01.25-7.1</t>
  </si>
  <si>
    <t>Pręt fi20x10</t>
  </si>
  <si>
    <t>1.11.1.20</t>
  </si>
  <si>
    <t>SR-357.14.02.00-7.2</t>
  </si>
  <si>
    <t>Blat tylni</t>
  </si>
  <si>
    <t>SR-357.14.02.01-7.2</t>
  </si>
  <si>
    <t>Sklejka 15x694x994</t>
  </si>
  <si>
    <t>Tapicerka 1-7.2</t>
  </si>
  <si>
    <t>Mufa kołnierzowa M6x13mm</t>
  </si>
  <si>
    <t>SR-357.14.03.00-7.2</t>
  </si>
  <si>
    <t>Blat środkowy</t>
  </si>
  <si>
    <t>SR-357.14.03.01-7.2</t>
  </si>
  <si>
    <t>Sklejka 15x490x694</t>
  </si>
  <si>
    <t>Tapicerka 2-7.2</t>
  </si>
  <si>
    <t>Mufa kołnierzowa M6x13mm fi8</t>
  </si>
  <si>
    <t>SR-357.14.04.00-7.2</t>
  </si>
  <si>
    <t>Zagłówek</t>
  </si>
  <si>
    <t>SR-357.14.04.01-7.2</t>
  </si>
  <si>
    <t>Sklejka 15x431x454</t>
  </si>
  <si>
    <t>Tapicerka 3-7.2</t>
  </si>
  <si>
    <t>SR-357.14.05.00-7.2</t>
  </si>
  <si>
    <t>Podłokietnik I</t>
  </si>
  <si>
    <t>SR-357.14.05.01-7.2</t>
  </si>
  <si>
    <t>Sklejka 15x113x368</t>
  </si>
  <si>
    <t>Tapicerka 4-7.2</t>
  </si>
  <si>
    <t>SR-357.14.05.00-7.2_L</t>
  </si>
  <si>
    <t>1.11.6.1</t>
  </si>
  <si>
    <t>SR-357.14.05.01-7.2_L</t>
  </si>
  <si>
    <t>1.11.6.2</t>
  </si>
  <si>
    <t>Tapicerka 4-7.2_L</t>
  </si>
  <si>
    <t>1.11.6.3</t>
  </si>
  <si>
    <t>SR-357.14.06.00-7.2</t>
  </si>
  <si>
    <t>Mocowanie blatu I</t>
  </si>
  <si>
    <t>1.11.7.1</t>
  </si>
  <si>
    <t>SR-357.14.06.01-7.2</t>
  </si>
  <si>
    <t>Rura fi 14x2x23</t>
  </si>
  <si>
    <t>1.11.7.2</t>
  </si>
  <si>
    <t>SR-357.14.06.02-7.2</t>
  </si>
  <si>
    <t>Blacha 3x125x368</t>
  </si>
  <si>
    <t>SR-357.14.07.00-7.2</t>
  </si>
  <si>
    <t>Mocowanie blatu II</t>
  </si>
  <si>
    <t>1.11.8.1</t>
  </si>
  <si>
    <t>SR-357.14.07.01-7.2</t>
  </si>
  <si>
    <t>Blacha 3x128x424</t>
  </si>
  <si>
    <t>1.11.8.2</t>
  </si>
  <si>
    <t>SR-357.14.07.02-7</t>
  </si>
  <si>
    <t>Blacha 3x33x93</t>
  </si>
  <si>
    <t>1.11.8.3</t>
  </si>
  <si>
    <t>SR-357.14.06.01-7</t>
  </si>
  <si>
    <t>Rura fi 14x2x25</t>
  </si>
  <si>
    <t>SR-357.14.08.00-7.2</t>
  </si>
  <si>
    <t>Mocowanie blatu III</t>
  </si>
  <si>
    <t>1.11.9.1</t>
  </si>
  <si>
    <t>SR-357.14.08.01-7.2</t>
  </si>
  <si>
    <t>Blacha 4x120x307</t>
  </si>
  <si>
    <t>1.11.9.2</t>
  </si>
  <si>
    <t>SR-357.14.09.00-7.2</t>
  </si>
  <si>
    <t>Podłokietnik II</t>
  </si>
  <si>
    <t>1.11.10.1</t>
  </si>
  <si>
    <t>SR-357.14.09.02-7.2</t>
  </si>
  <si>
    <t>Sklejka 15x113x380</t>
  </si>
  <si>
    <t>1.11.10.2</t>
  </si>
  <si>
    <t>Tapicerka 5-7.2</t>
  </si>
  <si>
    <t>1.11.10.3</t>
  </si>
  <si>
    <t>SR-357.14.09.00-7.2_L</t>
  </si>
  <si>
    <t>1.11.11.1</t>
  </si>
  <si>
    <t>SR-357.14.09.02-7.2_L</t>
  </si>
  <si>
    <t>1.11.11.2</t>
  </si>
  <si>
    <t xml:space="preserve">Tapicerka 5-7.2_L </t>
  </si>
  <si>
    <t>1.11.11.3</t>
  </si>
  <si>
    <t>SR-357.14.10.00-7.3</t>
  </si>
  <si>
    <t>Rama II</t>
  </si>
  <si>
    <t>1.11.12.1</t>
  </si>
  <si>
    <t>1.11.12.2</t>
  </si>
  <si>
    <t>SR-357.14.10.02-7.3</t>
  </si>
  <si>
    <t>1.11.12.3</t>
  </si>
  <si>
    <t>SR-357.14.10.02-7.3_L</t>
  </si>
  <si>
    <t>1.11.12.4</t>
  </si>
  <si>
    <t>1.11.12.5</t>
  </si>
  <si>
    <t>SR-357.14.10.04-7.3</t>
  </si>
  <si>
    <t>Blacha 4x18x39</t>
  </si>
  <si>
    <t>1.11.12.6</t>
  </si>
  <si>
    <t>1.11.12.7</t>
  </si>
  <si>
    <t>SR-357.14.10.06-7.3</t>
  </si>
  <si>
    <t>SR-357.14.11.00-7.2</t>
  </si>
  <si>
    <t>Prowadnica I</t>
  </si>
  <si>
    <t>1.11.13.1</t>
  </si>
  <si>
    <t>SR-357.14.11.01-7.1</t>
  </si>
  <si>
    <t>Blacha 4x46x79</t>
  </si>
  <si>
    <t>1.11.13.2</t>
  </si>
  <si>
    <t>SR-357.14.11.02-7.2</t>
  </si>
  <si>
    <t>Kształt. zam. 20x20x2x280</t>
  </si>
  <si>
    <t>1.11.13.3</t>
  </si>
  <si>
    <t>GN 614.4-8-NI</t>
  </si>
  <si>
    <t>Zatrzask Trzpieniowy Elesa</t>
  </si>
  <si>
    <t>Elesa</t>
  </si>
  <si>
    <t>SR-357.14.12.00-7.3</t>
  </si>
  <si>
    <t>Blokada sprężyny I</t>
  </si>
  <si>
    <t>1.11.14.1</t>
  </si>
  <si>
    <t>SR-357.14.12.01-7.3</t>
  </si>
  <si>
    <t>Pręt fi 10x140</t>
  </si>
  <si>
    <t>1.11.14.2</t>
  </si>
  <si>
    <t>SR-357.14.12.02-7.3</t>
  </si>
  <si>
    <t>1.11.14.3</t>
  </si>
  <si>
    <t>SR-357.14.12.04-7.3</t>
  </si>
  <si>
    <t>SR-357.14.14.00-7.2</t>
  </si>
  <si>
    <t>Podparcie podłokietnika I</t>
  </si>
  <si>
    <t>1.11.15.1</t>
  </si>
  <si>
    <t>SR-357.14.14.01-7.2</t>
  </si>
  <si>
    <t>Blacha 3x102x240</t>
  </si>
  <si>
    <t>1.11.15.2</t>
  </si>
  <si>
    <t>SR-357.14.14.02-7.1</t>
  </si>
  <si>
    <t>Kształt. zam. 25x25x2x36</t>
  </si>
  <si>
    <t>1.11.15.3</t>
  </si>
  <si>
    <t>SR-357.14.14.03-7</t>
  </si>
  <si>
    <t>Kształt. zam. 25x25x2x34</t>
  </si>
  <si>
    <t>1.11.15.4</t>
  </si>
  <si>
    <t>SR-357.14.14.04-7</t>
  </si>
  <si>
    <t>Pręt fi12x18</t>
  </si>
  <si>
    <t>SR-357.14.14.00-7.2_L</t>
  </si>
  <si>
    <t>1.11.16.1</t>
  </si>
  <si>
    <t>1.11.16.2</t>
  </si>
  <si>
    <t>1.11.16.3</t>
  </si>
  <si>
    <t>1.11.16.4</t>
  </si>
  <si>
    <t>SR-357.14.15.00-7.2</t>
  </si>
  <si>
    <t>Podparcie podłokietnika II</t>
  </si>
  <si>
    <t>1.11.17.1</t>
  </si>
  <si>
    <t>SR-357.14.15.01-7.2</t>
  </si>
  <si>
    <t>Blacha 3x64x187</t>
  </si>
  <si>
    <t>1.11.17.2</t>
  </si>
  <si>
    <t>SR-357.14.15.02-7.1</t>
  </si>
  <si>
    <t>Kształt. zam. 25x25x2x60</t>
  </si>
  <si>
    <t>1.11.17.3</t>
  </si>
  <si>
    <t>SR-357.14.15.03-7.1</t>
  </si>
  <si>
    <t>Kształt. zam. 25x25x2x66</t>
  </si>
  <si>
    <t>1.11.17.4</t>
  </si>
  <si>
    <t>SR-357.14.15.04-7.2</t>
  </si>
  <si>
    <t>Kształt. zam. 25x25x2x100</t>
  </si>
  <si>
    <t>1.11.17.5</t>
  </si>
  <si>
    <t>SR-357.14.15.05-7</t>
  </si>
  <si>
    <t>Pręt fi 14x20</t>
  </si>
  <si>
    <t>SR-357.14.15.00-7.2_L</t>
  </si>
  <si>
    <t>1.11.18.1</t>
  </si>
  <si>
    <t>SR-357.14.15.01-7.1</t>
  </si>
  <si>
    <t>1.11.18.2</t>
  </si>
  <si>
    <t>1.11.18.3</t>
  </si>
  <si>
    <t>1.11.18.4</t>
  </si>
  <si>
    <t>SR-357.14.15.04-7.2_L</t>
  </si>
  <si>
    <t>1.11.18.5</t>
  </si>
  <si>
    <t>SR-357.14.16.00-7.2</t>
  </si>
  <si>
    <t>Sanie I</t>
  </si>
  <si>
    <t>1.11.19.1</t>
  </si>
  <si>
    <t>SR-357.14.16.01-7.2</t>
  </si>
  <si>
    <t>Pręt Ø16x312</t>
  </si>
  <si>
    <t>1.11.19.2</t>
  </si>
  <si>
    <t>SR-357.14.16.02-7.2</t>
  </si>
  <si>
    <t>Kształt. zam. 30x20x2x608</t>
  </si>
  <si>
    <t>1.11.19.3</t>
  </si>
  <si>
    <t>SR-357.14.16.03-7.2</t>
  </si>
  <si>
    <t>Blacha 4x21x31</t>
  </si>
  <si>
    <t>1.11.19.4</t>
  </si>
  <si>
    <t>SR-357.14.16.04-7</t>
  </si>
  <si>
    <t>Kształt. zam. 30x20x2x215</t>
  </si>
  <si>
    <t>1.11.19.5</t>
  </si>
  <si>
    <t>SR-357.14.16.05-7</t>
  </si>
  <si>
    <t>SR-357.14.20.00-7.2</t>
  </si>
  <si>
    <t>Sworzeń fi 8x47</t>
  </si>
  <si>
    <t>SR-357.14.22.00-7.2</t>
  </si>
  <si>
    <t>SR-357.14.21.00-7.2</t>
  </si>
  <si>
    <t>Sworzeń fi 10x51</t>
  </si>
  <si>
    <t>SR-357.14.23.00-7</t>
  </si>
  <si>
    <t>Sworzeń fi 10x49</t>
  </si>
  <si>
    <t>SR-357.14.24.00-7.2</t>
  </si>
  <si>
    <t>Sworzeń fi 8x91</t>
  </si>
  <si>
    <t>SR-357.14.25.00-7.2</t>
  </si>
  <si>
    <t>Sworzeń fi 8x319</t>
  </si>
  <si>
    <t>1.11.29</t>
  </si>
  <si>
    <t>1.11.30</t>
  </si>
  <si>
    <t>SR-357.14.29.00-7</t>
  </si>
  <si>
    <t>Pręt fi 20x3,5</t>
  </si>
  <si>
    <t>1.11.31</t>
  </si>
  <si>
    <t>SR-357.14.30.00-7</t>
  </si>
  <si>
    <t>Pręt fi 20x6</t>
  </si>
  <si>
    <t>1.11.32</t>
  </si>
  <si>
    <t>1.11.33</t>
  </si>
  <si>
    <t>SR-357.14.31.00-7.1</t>
  </si>
  <si>
    <t>Pręt fi 20x15</t>
  </si>
  <si>
    <t>1.11.34</t>
  </si>
  <si>
    <t>SR-357.14.32.00-2.2</t>
  </si>
  <si>
    <t>Pręt fi20x6</t>
  </si>
  <si>
    <t>1.11.35</t>
  </si>
  <si>
    <t>SR-357.14.35.00-7.1</t>
  </si>
  <si>
    <t>Pręt fi 20x8</t>
  </si>
  <si>
    <t>1.11.36</t>
  </si>
  <si>
    <t>SR-357.14.37.00-7.2</t>
  </si>
  <si>
    <t>Prowadnica II</t>
  </si>
  <si>
    <t>1.11.36.1</t>
  </si>
  <si>
    <t>SR-357.14.37.01-7.2</t>
  </si>
  <si>
    <t>Blacha 2x383x430</t>
  </si>
  <si>
    <t>1.11.36.2</t>
  </si>
  <si>
    <t>SR-357.14.37.02-7.2</t>
  </si>
  <si>
    <t>Blacha 2x13x20</t>
  </si>
  <si>
    <t>1.11.37</t>
  </si>
  <si>
    <t>SR-357.14.39.00-7.2</t>
  </si>
  <si>
    <t>Kształt. zam. 20x20x2x145</t>
  </si>
  <si>
    <t>1.11.38</t>
  </si>
  <si>
    <t>SR-357.14.40.00-7.2</t>
  </si>
  <si>
    <t>Sworzeń fi 8x104</t>
  </si>
  <si>
    <t>1.11.39</t>
  </si>
  <si>
    <t>SR-357.14.41.00-7.2</t>
  </si>
  <si>
    <t>Blokada sprężyny II</t>
  </si>
  <si>
    <t>1.11.39.1</t>
  </si>
  <si>
    <t>SR-357.14.41.01-7.2</t>
  </si>
  <si>
    <t>Rura 14x2x85</t>
  </si>
  <si>
    <t>1.11.39.2</t>
  </si>
  <si>
    <t>SR-357.14.41.02-7.2</t>
  </si>
  <si>
    <t>Pręt fi10x287</t>
  </si>
  <si>
    <t>1.11.39.3</t>
  </si>
  <si>
    <t>SR-357.14.41.03-7.2</t>
  </si>
  <si>
    <t>Blacha 2x12x70</t>
  </si>
  <si>
    <t>1.11.40</t>
  </si>
  <si>
    <t>SR-357.14.42.00-7.2</t>
  </si>
  <si>
    <t>Blacha 3x32x153</t>
  </si>
  <si>
    <t>1.11.41</t>
  </si>
  <si>
    <t>SR-357.14.43.00-7.2</t>
  </si>
  <si>
    <t>Sworzeń fi8x116</t>
  </si>
  <si>
    <t>1.11.42</t>
  </si>
  <si>
    <t>SR-357 Fartuch 2-7.1</t>
  </si>
  <si>
    <t>Materiał 2x200x323</t>
  </si>
  <si>
    <t>1.11.43</t>
  </si>
  <si>
    <t>SR-357 Fartuch 1-7.1</t>
  </si>
  <si>
    <t>Materiał 2x294x444</t>
  </si>
  <si>
    <t>1.11.44</t>
  </si>
  <si>
    <t>Siłownik DEWERT MCZ_6kN_330/150</t>
  </si>
  <si>
    <t>1.11.45</t>
  </si>
  <si>
    <t>1.11.46</t>
  </si>
  <si>
    <t>1623SN</t>
  </si>
  <si>
    <t>Sprężyna gazowa Block-o-lift 1623SN skok. 260</t>
  </si>
  <si>
    <t>1.11.47</t>
  </si>
  <si>
    <t>Przycisk podblatowy UNDERCOVER</t>
  </si>
  <si>
    <t>1.11.48</t>
  </si>
  <si>
    <t>1.11.49</t>
  </si>
  <si>
    <t>19.0048.0200201025</t>
  </si>
  <si>
    <t>Zaślepka profila Backer 20x20x1,0-2,5</t>
  </si>
  <si>
    <t>1.11.50</t>
  </si>
  <si>
    <t>19.0048.0250251025</t>
  </si>
  <si>
    <t>Zaślepka profila Backer 25x25x1-2.5</t>
  </si>
  <si>
    <t>1.11.51</t>
  </si>
  <si>
    <t>19.0049.0400200030</t>
  </si>
  <si>
    <t>Zaślepka profila Backer 40x20x3</t>
  </si>
  <si>
    <t>1.11.52</t>
  </si>
  <si>
    <t>1.11.53</t>
  </si>
  <si>
    <t>K0274.09065X20</t>
  </si>
  <si>
    <t>Pokrętło KIPP K0274.09065X20</t>
  </si>
  <si>
    <t>1.11.54</t>
  </si>
  <si>
    <t>K0274_02085X20</t>
  </si>
  <si>
    <t>Pokrętło KIPP K0274_02085X20</t>
  </si>
  <si>
    <t>1.11.55</t>
  </si>
  <si>
    <t>RB-19-12_10</t>
  </si>
  <si>
    <t>Rolka prowadząca Zabi Ø19</t>
  </si>
  <si>
    <t>1.11.56</t>
  </si>
  <si>
    <t>GFM_101216_09</t>
  </si>
  <si>
    <t>Tulejka kołnierzowa Igus GFM_101216_09</t>
  </si>
  <si>
    <t>1.11.57</t>
  </si>
  <si>
    <t>1.11.58</t>
  </si>
  <si>
    <t>1.11.59</t>
  </si>
  <si>
    <t>1.11.60</t>
  </si>
  <si>
    <t>Pierścień osadczy sprężynujący Z 10</t>
  </si>
  <si>
    <t>1.11.61</t>
  </si>
  <si>
    <t>1.11.62</t>
  </si>
  <si>
    <t>1.11.63</t>
  </si>
  <si>
    <t xml:space="preserve">DIN  7997 </t>
  </si>
  <si>
    <t>Wkręt do drewna z łbem stożkowym typ Z 4x20</t>
  </si>
  <si>
    <t>1.11.64</t>
  </si>
  <si>
    <t>DIN 7997</t>
  </si>
  <si>
    <t>Wkręt stożkowy do drewna fi 3.5x16</t>
  </si>
  <si>
    <t>1.11.65</t>
  </si>
  <si>
    <t>ISO 7380 - M6 x 16</t>
  </si>
  <si>
    <t>Śruba z łbem półkolistym i gniazdem sześciokątnym - klasa dokładności A</t>
  </si>
  <si>
    <t>1.11.66</t>
  </si>
  <si>
    <t>1.11.67</t>
  </si>
  <si>
    <t>Śruba M8x45-8.8-B-Fe/Zn5</t>
  </si>
  <si>
    <t>1.11.68</t>
  </si>
  <si>
    <t>DIN 936</t>
  </si>
  <si>
    <t>Nakrętka niska drobnozwojna M10x1 Fe/Zn5</t>
  </si>
  <si>
    <t>1.11.69</t>
  </si>
  <si>
    <t>1.11.70</t>
  </si>
  <si>
    <t>Nakrętka kołpakowa M8-Fe/Zn5</t>
  </si>
  <si>
    <t>1.11.71</t>
  </si>
  <si>
    <t>1.11.72</t>
  </si>
  <si>
    <t>SR-357.15.00.00-1.5</t>
  </si>
  <si>
    <t>SR-357.20.00.00-1.5</t>
  </si>
  <si>
    <t>Blacha 2x308x612</t>
  </si>
  <si>
    <t>SR-357.21.00.00-1.5</t>
  </si>
  <si>
    <t>SR-357.22.00.00-1.5</t>
  </si>
  <si>
    <t>Uchwyt na prześcieradło</t>
  </si>
  <si>
    <t>1.15.1</t>
  </si>
  <si>
    <t>SR-357.22.01.00-1.5</t>
  </si>
  <si>
    <t>Blacha 4x30x80</t>
  </si>
  <si>
    <t>1.15.2</t>
  </si>
  <si>
    <t>SR-357.22.02.00-1.5</t>
  </si>
  <si>
    <t>Pręt fi 10x1098</t>
  </si>
  <si>
    <t>SR-357.23.00.00-1.5</t>
  </si>
  <si>
    <t>Sworzeń fi 10x53</t>
  </si>
  <si>
    <t>SR-357.24.00.00-1.5</t>
  </si>
  <si>
    <t>Sworzeń fi 10x43</t>
  </si>
  <si>
    <t>MEGAMAT2 76686MCZ</t>
  </si>
  <si>
    <t>Siłownik elektryczny DEWERT-MEGAMAT2</t>
  </si>
  <si>
    <t>Puszka hermetyczna KLUS 42703</t>
  </si>
  <si>
    <t>1131-112AB-GW020</t>
  </si>
  <si>
    <t>Puszka elektr.120x80x50 hermetyczna bez dławic (TIM)</t>
  </si>
  <si>
    <t>102033000001.</t>
  </si>
  <si>
    <t>Zaślepka do profili okrągłych fi20 (czarna)</t>
  </si>
  <si>
    <t>ISO 7380 - M10 x 35</t>
  </si>
  <si>
    <t>ISO 7380 - M10 x 25</t>
  </si>
  <si>
    <t>ISO 7380 - M8 x 20</t>
  </si>
  <si>
    <t>Śruba z łbem półkolistym i gniazdem sześciokątnym - klasa dokładności A, powłoka - ocynk</t>
  </si>
  <si>
    <t>ISO 7380 - M6 x 12</t>
  </si>
  <si>
    <t>ISO 7380 M4x20</t>
  </si>
  <si>
    <t>Nakrętka kołpakowa M10-MATERIAŁ: A2 - stal nierdzewna</t>
  </si>
  <si>
    <t>Podkładka 10,5 Fe/Zn5</t>
  </si>
  <si>
    <t>PN-59_M-82030</t>
  </si>
  <si>
    <t>Podkładka okrągła powiększona 8,5</t>
  </si>
  <si>
    <t>x</t>
  </si>
  <si>
    <t>xxxx-xx-xx</t>
  </si>
  <si>
    <t>xx miesięcy</t>
  </si>
  <si>
    <t>xxx/xx/xx</t>
  </si>
  <si>
    <t>xxxxxxxx</t>
  </si>
  <si>
    <t xml:space="preserve"> SR-357.14.01.00-7.2-W</t>
  </si>
  <si>
    <t>SR-357.14.01.27-7.2</t>
  </si>
  <si>
    <t>Pręt fi 12x270</t>
  </si>
  <si>
    <t>Brak opcji 1</t>
  </si>
  <si>
    <t xml:space="preserve"> SR-357.14.01.00-7.2-W1</t>
  </si>
  <si>
    <t>Brak opcji 5</t>
  </si>
  <si>
    <t xml:space="preserve"> SR-357.14.01.00-7.2-W2</t>
  </si>
  <si>
    <t>Opcja 2</t>
  </si>
  <si>
    <t xml:space="preserve"> SR-357.01.00.00-1.5-W1</t>
  </si>
  <si>
    <t>Brak opcji 2</t>
  </si>
  <si>
    <t>Opcja 3</t>
  </si>
  <si>
    <t>Opcja 4</t>
  </si>
  <si>
    <t xml:space="preserve"> SR-357.14.02.00-7.2-W</t>
  </si>
  <si>
    <t>SR-357.14.02.01-7.2-W</t>
  </si>
  <si>
    <t>Opcja 5</t>
  </si>
  <si>
    <t>Sworzeń fi10x84</t>
  </si>
  <si>
    <t xml:space="preserve"> SR-357.14.16.00-7.2-W</t>
  </si>
  <si>
    <t>SR-357.14.16.02-7.2-W</t>
  </si>
  <si>
    <t xml:space="preserve"> SR-357.08.00.00-1.5-W</t>
  </si>
  <si>
    <t>SR-357.08.01.00-1.5-W</t>
  </si>
  <si>
    <t>SR-357.08.02.00-1.5-W</t>
  </si>
  <si>
    <t>SR-357.08.05.00-1.5-W</t>
  </si>
  <si>
    <t>Opcja 2 i 8</t>
  </si>
  <si>
    <t xml:space="preserve"> SR-357.09.02.00-1.5-W</t>
  </si>
  <si>
    <t>SR-357.09.02.01-1.5-W</t>
  </si>
  <si>
    <t>SR-357.09.02.02-1.5-W</t>
  </si>
  <si>
    <t>SR-357.09.02.03-1.5-W</t>
  </si>
  <si>
    <t>Opcja 8</t>
  </si>
  <si>
    <t xml:space="preserve"> SR-357.09.03.00-1.5-W</t>
  </si>
  <si>
    <t>SR-357.09.03.01-1.5-W</t>
  </si>
  <si>
    <t>SR-357.09.03.01-1.5-W_L</t>
  </si>
  <si>
    <t xml:space="preserve"> SR-357.22.00.00-1.5-W</t>
  </si>
  <si>
    <t>SR-357.22.01.00-1.5-W</t>
  </si>
  <si>
    <t>SR-357.22.02.00-1.5-W</t>
  </si>
  <si>
    <t>Opcja 3 i 8</t>
  </si>
  <si>
    <t xml:space="preserve"> SR-357.14.41.00-7.2-W</t>
  </si>
  <si>
    <t>SR-357.14.41.01-7.2-W</t>
  </si>
  <si>
    <t>SR-357.14.41.03-7.2-W</t>
  </si>
  <si>
    <t>SR-357.14.41.02-7.2-W</t>
  </si>
  <si>
    <t>Opcja 5 i 8</t>
  </si>
  <si>
    <t xml:space="preserve"> SR-357.14.12.00-7.3-W</t>
  </si>
  <si>
    <t>SR-357.14.12.01-7.3-W</t>
  </si>
  <si>
    <t>SR-357.14.12.02-7.3-W</t>
  </si>
  <si>
    <t>SR-357.14.12.04-7.3-W</t>
  </si>
  <si>
    <t>Pilot przewodowy IPROXX 4 prz.</t>
  </si>
  <si>
    <t>Przedłużacz do siłownika prosty DEWERT</t>
  </si>
  <si>
    <t>Przewód sterowniczny ÖLFLEX Lapp Kabel; 4 metry</t>
  </si>
  <si>
    <t>3M-4614</t>
  </si>
  <si>
    <t>http://www.psp.pl/</t>
  </si>
  <si>
    <t>Tesa E-profile</t>
  </si>
  <si>
    <t>Uszczelka samoprzylepna biała KR 12-503; 3 metry</t>
  </si>
  <si>
    <t>Taśma klejąca dwustronna 3M-4614 12mm; 4 metry</t>
  </si>
  <si>
    <t>1.60</t>
  </si>
  <si>
    <t>Filc biały fi17 x1</t>
  </si>
  <si>
    <t>xxxxx</t>
  </si>
  <si>
    <t xml:space="preserve"> SR-357.14.00.00-2.3</t>
  </si>
  <si>
    <t>Blat 2 elementowy</t>
  </si>
  <si>
    <t>SR-357.14.01.00-2.2</t>
  </si>
  <si>
    <t>SR-357.14.01.01-2.2</t>
  </si>
  <si>
    <t>SR-357.14.01.01-7</t>
  </si>
  <si>
    <t>SR-357.14.01.04-2.1</t>
  </si>
  <si>
    <t>Kształt. zam. 40x20x3x370</t>
  </si>
  <si>
    <t>SR-357.14.01.07-2.2</t>
  </si>
  <si>
    <t>Kształt. zam. 40x20x3x1286</t>
  </si>
  <si>
    <t>SR-357.14.01.07-2.2_L</t>
  </si>
  <si>
    <t>SR-357.14.01.08-2.2</t>
  </si>
  <si>
    <t>Blacha 6x70x80</t>
  </si>
  <si>
    <t>SR-357.14.01.12-2.2</t>
  </si>
  <si>
    <t>Blacha 6x80x80</t>
  </si>
  <si>
    <t>SR-357.14.01.17-2.1</t>
  </si>
  <si>
    <t>Pręt fi 12x400</t>
  </si>
  <si>
    <t>SR-357.14.01.18-2.2</t>
  </si>
  <si>
    <t>Pręt fi 12x1097</t>
  </si>
  <si>
    <t>SR-357.14.01.20-2.1</t>
  </si>
  <si>
    <t>Blacha 4x50x55</t>
  </si>
  <si>
    <t>SR-357.14.01.21-2</t>
  </si>
  <si>
    <t>Rura fi30x2x32</t>
  </si>
  <si>
    <t>SR-357.14.01.24-2.1</t>
  </si>
  <si>
    <t>Kształt. zam. 30x20x2x330</t>
  </si>
  <si>
    <t>SR-357.14.02.00-2.3</t>
  </si>
  <si>
    <t>SR-357.14.02.01-2.3</t>
  </si>
  <si>
    <t>Sklejka 15x694x1509</t>
  </si>
  <si>
    <t>Tapicerka 1-2.3</t>
  </si>
  <si>
    <t>SR-357.14.04.00-2.3</t>
  </si>
  <si>
    <t>SR-357.14.04.01-2.3</t>
  </si>
  <si>
    <t>Sklejka 15x431x694</t>
  </si>
  <si>
    <t>Tapicerka 2-2.3</t>
  </si>
  <si>
    <t>1.11.4.4</t>
  </si>
  <si>
    <t>1.11.4.5</t>
  </si>
  <si>
    <t>1.11.4.6</t>
  </si>
  <si>
    <t>1.11.4.7</t>
  </si>
  <si>
    <t>SR-357.14.18.00-7.2</t>
  </si>
  <si>
    <t>SR-357.14.25.00-2.2</t>
  </si>
  <si>
    <t>Sworzeń fi 8x262</t>
  </si>
  <si>
    <t>SR-357.14.31.00-2.1</t>
  </si>
  <si>
    <t>Pręt fi 20x26,5</t>
  </si>
  <si>
    <t>Materiał 2x135x323</t>
  </si>
  <si>
    <t>ELESA NDA.T-30-M16x30</t>
  </si>
  <si>
    <t xml:space="preserve">Wkładka regulowana rury </t>
  </si>
  <si>
    <t>Śruba imbusowa półkolista M6x16 Fe/Zn5</t>
  </si>
  <si>
    <t xml:space="preserve"> SR-357.01.00.00-1.5-W</t>
  </si>
  <si>
    <t>Brak opcji 2 i 10</t>
  </si>
  <si>
    <t>SR-357.07.00.00-1.5-W</t>
  </si>
  <si>
    <t>SR-357.06.00.00-1.5-W</t>
  </si>
  <si>
    <t xml:space="preserve"> SR-357.14.03.00-5.2</t>
  </si>
  <si>
    <t>SR-357.14.03.01-5.2</t>
  </si>
  <si>
    <t>Tapicerka 2-5.2</t>
  </si>
  <si>
    <t xml:space="preserve"> SR-357.14.04.00-2.3</t>
  </si>
  <si>
    <t>Opcja 9</t>
  </si>
  <si>
    <t>ZDO 13x9</t>
  </si>
  <si>
    <t>Zaślepka otworu technologicznego fi 9</t>
  </si>
  <si>
    <t>Brak opcji 9</t>
  </si>
  <si>
    <t>Opcja 10</t>
  </si>
  <si>
    <t>Opcja 8 i 10</t>
  </si>
  <si>
    <t>Opcja 2 i 10</t>
  </si>
  <si>
    <t>Stół rehabilitacyjny 3 elementowy</t>
  </si>
  <si>
    <t>SR-357.14.00.00-5.3</t>
  </si>
  <si>
    <t>Blat 3 elementowy</t>
  </si>
  <si>
    <t xml:space="preserve"> SR-357.00.00.00-2.3</t>
  </si>
  <si>
    <t xml:space="preserve"> SR-357.00.00.00-5.2</t>
  </si>
  <si>
    <t>Stół rehabilitacyjny 2 elementowy</t>
  </si>
  <si>
    <t xml:space="preserve"> SR-357.02.00.00-1.5-W</t>
  </si>
  <si>
    <t>Brak opcji 4</t>
  </si>
  <si>
    <t>SR-357.14.02.00-2.3-W</t>
  </si>
  <si>
    <t>SR-357.14.02.01-2.3-W</t>
  </si>
  <si>
    <t>00900104010</t>
  </si>
  <si>
    <t>Zaślepka chromowana do rur okrągłych MTGLC   fi20x1.5</t>
  </si>
  <si>
    <t>BACKER</t>
  </si>
  <si>
    <t>PIVEXIN</t>
  </si>
  <si>
    <t>IGUS</t>
  </si>
  <si>
    <t>TENTE</t>
  </si>
  <si>
    <t>TIM</t>
  </si>
  <si>
    <t>A20</t>
  </si>
  <si>
    <t>UNIBIS</t>
  </si>
  <si>
    <t>KIPP</t>
  </si>
  <si>
    <t>KLUS</t>
  </si>
  <si>
    <t>ELESA</t>
  </si>
  <si>
    <t>Pilot przewodowy IPROXX_2_prz.</t>
  </si>
  <si>
    <t>1.61</t>
  </si>
  <si>
    <t>Wzór-1</t>
  </si>
  <si>
    <t>Folia pilota</t>
  </si>
  <si>
    <t>Irga</t>
  </si>
  <si>
    <t>1.62</t>
  </si>
  <si>
    <t>Rysunek w załączeniu</t>
  </si>
  <si>
    <t>Wzór-2</t>
  </si>
  <si>
    <t>E03DK-01040100201</t>
  </si>
  <si>
    <t>Dławnica kablowa poliamidowa M16 IP68 DP-EN 16 HM szara</t>
  </si>
  <si>
    <t>1.63</t>
  </si>
  <si>
    <t>Zatyczka do zagłówka</t>
  </si>
  <si>
    <t>Opcja 7</t>
  </si>
  <si>
    <t>Przewód sterowniczny ÖLFLEX Lapp Kabel; 2 metry</t>
  </si>
  <si>
    <t>tapicerka: xxx, stelaż: xxx</t>
  </si>
  <si>
    <t>Brak opcji 1 i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</si>
</sst>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&quot;zł&quot;* #,##0.00_);_(&quot;zł&quot;* \(#,##0.00\);_(&quot;zł&quot;* &quot;-&quot;??_);_(@_)"/>
    <numFmt numFmtId="165" formatCode="&quot;zł&quot;#,##0.00_);[Red]\(&quot;zł&quot;#,##0.00\)"/>
    <numFmt numFmtId="166" formatCode="#,###;[Red]\-#,###"/>
    <numFmt numFmtId="167" formatCode="#,##0&quot;(P+L)&quot;"/>
    <numFmt numFmtId="168" formatCode="#,##0&quot; kg&quot;"/>
    <numFmt numFmtId="169" formatCode="#,##0.00&quot; kg&quot;"/>
  </numFmts>
  <fonts count="35" x14ac:knownFonts="1">
    <font>
      <sz val="10"/>
      <name val="Arial"/>
      <charset val="238"/>
    </font>
    <font>
      <sz val="10"/>
      <name val="Arial"/>
      <family val="2"/>
      <charset val="238"/>
    </font>
    <font>
      <u/>
      <sz val="10"/>
      <color indexed="12"/>
      <name val="Arial"/>
      <family val="2"/>
      <charset val="238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name val="Arial CE"/>
      <charset val="238"/>
    </font>
    <font>
      <b/>
      <i/>
      <sz val="10"/>
      <name val="Arial CE"/>
      <family val="2"/>
      <charset val="238"/>
    </font>
    <font>
      <i/>
      <sz val="10"/>
      <name val="Arial CE"/>
      <family val="2"/>
      <charset val="238"/>
    </font>
    <font>
      <i/>
      <sz val="10"/>
      <name val="Arial"/>
      <family val="2"/>
      <charset val="238"/>
    </font>
    <font>
      <b/>
      <sz val="10"/>
      <name val="Arial"/>
      <family val="2"/>
      <charset val="238"/>
    </font>
    <font>
      <b/>
      <i/>
      <sz val="10"/>
      <name val="Arial CE"/>
      <charset val="238"/>
    </font>
    <font>
      <b/>
      <i/>
      <sz val="9"/>
      <name val="Arial"/>
      <family val="2"/>
    </font>
    <font>
      <sz val="9"/>
      <name val="Arial"/>
      <family val="2"/>
    </font>
    <font>
      <b/>
      <i/>
      <sz val="13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  <charset val="238"/>
    </font>
    <font>
      <b/>
      <i/>
      <sz val="9"/>
      <name val="Arial"/>
      <family val="2"/>
      <charset val="238"/>
    </font>
    <font>
      <b/>
      <i/>
      <sz val="10"/>
      <color indexed="48"/>
      <name val="Arial CE"/>
      <charset val="238"/>
    </font>
    <font>
      <sz val="10"/>
      <name val="Arial"/>
      <family val="2"/>
      <charset val="238"/>
    </font>
    <font>
      <i/>
      <sz val="9"/>
      <name val="Arial"/>
      <family val="2"/>
      <charset val="238"/>
    </font>
    <font>
      <sz val="13"/>
      <name val="Arial"/>
      <family val="2"/>
    </font>
    <font>
      <sz val="10"/>
      <color indexed="10"/>
      <name val="Arial"/>
      <family val="2"/>
      <charset val="238"/>
    </font>
    <font>
      <b/>
      <i/>
      <sz val="10"/>
      <color indexed="8"/>
      <name val="Arial"/>
      <family val="2"/>
    </font>
    <font>
      <b/>
      <sz val="11"/>
      <name val="Arial"/>
      <family val="2"/>
      <charset val="238"/>
    </font>
    <font>
      <b/>
      <i/>
      <sz val="8"/>
      <name val="Arial"/>
      <family val="2"/>
    </font>
    <font>
      <i/>
      <sz val="9"/>
      <name val="Arial"/>
      <family val="2"/>
    </font>
    <font>
      <sz val="12"/>
      <name val="Arial"/>
      <family val="2"/>
      <charset val="238"/>
    </font>
    <font>
      <sz val="11"/>
      <color indexed="8"/>
      <name val="Calibri"/>
      <family val="2"/>
      <charset val="204"/>
    </font>
    <font>
      <i/>
      <u/>
      <sz val="10"/>
      <name val="Arial"/>
      <family val="2"/>
      <charset val="238"/>
    </font>
    <font>
      <u/>
      <sz val="8"/>
      <color rgb="FFFF0000"/>
      <name val="Arial"/>
      <family val="2"/>
      <charset val="238"/>
    </font>
    <font>
      <sz val="8"/>
      <color rgb="FFFF0000"/>
      <name val="Arial"/>
      <family val="2"/>
      <charset val="238"/>
    </font>
    <font>
      <b/>
      <i/>
      <sz val="8"/>
      <name val="Arial"/>
      <family val="2"/>
      <charset val="238"/>
    </font>
    <font>
      <i/>
      <sz val="10"/>
      <color theme="1"/>
      <name val="Arial CE"/>
      <charset val="238"/>
    </font>
    <font>
      <sz val="14"/>
      <color rgb="FFFF0000"/>
      <name val="Arial"/>
      <family val="2"/>
      <charset val="238"/>
    </font>
    <font>
      <sz val="10"/>
      <color rgb="FF000000"/>
      <name val="Arial CE"/>
      <charset val="238"/>
    </font>
  </fonts>
  <fills count="1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18" fillId="0" borderId="0"/>
    <xf numFmtId="0" fontId="18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164" fontId="8" fillId="0" borderId="0" xfId="5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49" fontId="13" fillId="2" borderId="0" xfId="5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6" fillId="0" borderId="0" xfId="5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center" vertical="center"/>
    </xf>
    <xf numFmtId="14" fontId="3" fillId="4" borderId="5" xfId="0" applyNumberFormat="1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64" fontId="3" fillId="4" borderId="6" xfId="5" applyFont="1" applyFill="1" applyBorder="1" applyAlignment="1">
      <alignment horizontal="center" vertical="center"/>
    </xf>
    <xf numFmtId="164" fontId="6" fillId="3" borderId="7" xfId="5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right" vertical="center"/>
    </xf>
    <xf numFmtId="0" fontId="11" fillId="3" borderId="7" xfId="0" applyFont="1" applyFill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164" fontId="15" fillId="5" borderId="7" xfId="0" applyNumberFormat="1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/>
    </xf>
    <xf numFmtId="14" fontId="3" fillId="0" borderId="11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164" fontId="4" fillId="3" borderId="14" xfId="5" applyFont="1" applyFill="1" applyBorder="1" applyAlignment="1">
      <alignment horizontal="center" vertical="center"/>
    </xf>
    <xf numFmtId="164" fontId="4" fillId="3" borderId="2" xfId="5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11" fillId="3" borderId="17" xfId="0" applyFont="1" applyFill="1" applyBorder="1" applyAlignment="1">
      <alignment horizontal="center" vertical="center"/>
    </xf>
    <xf numFmtId="164" fontId="3" fillId="4" borderId="18" xfId="5" applyFont="1" applyFill="1" applyBorder="1" applyAlignment="1">
      <alignment horizontal="center" vertical="center"/>
    </xf>
    <xf numFmtId="165" fontId="3" fillId="4" borderId="10" xfId="5" applyNumberFormat="1" applyFont="1" applyFill="1" applyBorder="1" applyAlignment="1">
      <alignment horizontal="center" vertical="center"/>
    </xf>
    <xf numFmtId="4" fontId="15" fillId="8" borderId="7" xfId="0" applyNumberFormat="1" applyFont="1" applyFill="1" applyBorder="1" applyAlignment="1">
      <alignment horizontal="center" vertical="center"/>
    </xf>
    <xf numFmtId="0" fontId="22" fillId="8" borderId="19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/>
    </xf>
    <xf numFmtId="164" fontId="6" fillId="3" borderId="0" xfId="5" applyFont="1" applyFill="1" applyBorder="1" applyAlignment="1">
      <alignment horizontal="center" vertical="center"/>
    </xf>
    <xf numFmtId="164" fontId="15" fillId="5" borderId="0" xfId="0" applyNumberFormat="1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0" fontId="22" fillId="9" borderId="20" xfId="0" applyFont="1" applyFill="1" applyBorder="1" applyAlignment="1">
      <alignment horizontal="center" vertical="center"/>
    </xf>
    <xf numFmtId="0" fontId="22" fillId="9" borderId="14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24" fillId="3" borderId="15" xfId="0" applyFont="1" applyFill="1" applyBorder="1" applyAlignment="1">
      <alignment horizontal="center" vertical="center"/>
    </xf>
    <xf numFmtId="0" fontId="0" fillId="4" borderId="0" xfId="0" applyFill="1" applyAlignment="1">
      <alignment horizontal="right" vertical="center" shrinkToFit="1"/>
    </xf>
    <xf numFmtId="0" fontId="25" fillId="4" borderId="4" xfId="0" applyFont="1" applyFill="1" applyBorder="1" applyAlignment="1">
      <alignment horizontal="center" vertical="center"/>
    </xf>
    <xf numFmtId="0" fontId="9" fillId="0" borderId="21" xfId="0" applyFont="1" applyFill="1" applyBorder="1" applyAlignment="1">
      <alignment horizontal="right" vertical="center"/>
    </xf>
    <xf numFmtId="164" fontId="1" fillId="0" borderId="17" xfId="5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right" vertical="center"/>
    </xf>
    <xf numFmtId="0" fontId="15" fillId="0" borderId="0" xfId="0" applyFont="1" applyFill="1" applyBorder="1" applyAlignment="1">
      <alignment horizontal="left" vertical="center"/>
    </xf>
    <xf numFmtId="164" fontId="1" fillId="0" borderId="0" xfId="5" applyFill="1" applyBorder="1" applyAlignment="1">
      <alignment horizontal="center" vertical="center"/>
    </xf>
    <xf numFmtId="164" fontId="21" fillId="0" borderId="0" xfId="5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left" vertical="center"/>
    </xf>
    <xf numFmtId="164" fontId="9" fillId="0" borderId="0" xfId="5" applyFont="1" applyFill="1" applyBorder="1" applyAlignment="1">
      <alignment horizontal="right" vertical="center"/>
    </xf>
    <xf numFmtId="164" fontId="0" fillId="0" borderId="0" xfId="0" applyNumberForma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164" fontId="8" fillId="0" borderId="0" xfId="5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/>
    </xf>
    <xf numFmtId="164" fontId="7" fillId="0" borderId="0" xfId="5" applyFont="1" applyFill="1" applyBorder="1" applyAlignment="1">
      <alignment horizontal="center" vertical="center"/>
    </xf>
    <xf numFmtId="0" fontId="0" fillId="0" borderId="0" xfId="0" applyFill="1" applyAlignment="1">
      <alignment horizontal="right" vertical="center"/>
    </xf>
    <xf numFmtId="14" fontId="15" fillId="0" borderId="0" xfId="0" applyNumberFormat="1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166" fontId="5" fillId="0" borderId="11" xfId="0" applyNumberFormat="1" applyFont="1" applyFill="1" applyBorder="1" applyAlignment="1">
      <alignment horizontal="center" vertical="center"/>
    </xf>
    <xf numFmtId="2" fontId="5" fillId="0" borderId="11" xfId="0" applyNumberFormat="1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4" fontId="15" fillId="0" borderId="0" xfId="0" applyNumberFormat="1" applyFont="1" applyFill="1" applyBorder="1" applyAlignment="1">
      <alignment horizontal="center" vertical="center"/>
    </xf>
    <xf numFmtId="4" fontId="15" fillId="8" borderId="7" xfId="0" applyNumberFormat="1" applyFont="1" applyFill="1" applyBorder="1" applyAlignment="1">
      <alignment horizontal="center" vertical="center" wrapText="1"/>
    </xf>
    <xf numFmtId="14" fontId="15" fillId="0" borderId="0" xfId="0" applyNumberFormat="1" applyFont="1" applyFill="1" applyAlignment="1">
      <alignment horizontal="center" vertical="center"/>
    </xf>
    <xf numFmtId="167" fontId="0" fillId="0" borderId="0" xfId="0" applyNumberFormat="1" applyFill="1" applyBorder="1" applyAlignment="1">
      <alignment vertical="center"/>
    </xf>
    <xf numFmtId="0" fontId="0" fillId="0" borderId="22" xfId="0" applyBorder="1"/>
    <xf numFmtId="0" fontId="8" fillId="0" borderId="22" xfId="0" applyFont="1" applyBorder="1"/>
    <xf numFmtId="0" fontId="8" fillId="0" borderId="22" xfId="0" applyFont="1" applyBorder="1" applyAlignment="1">
      <alignment wrapText="1"/>
    </xf>
    <xf numFmtId="0" fontId="8" fillId="0" borderId="0" xfId="0" applyFont="1"/>
    <xf numFmtId="4" fontId="0" fillId="0" borderId="22" xfId="0" applyNumberFormat="1" applyBorder="1"/>
    <xf numFmtId="0" fontId="28" fillId="0" borderId="0" xfId="0" applyFont="1" applyFill="1" applyAlignment="1">
      <alignment horizontal="left" vertical="center"/>
    </xf>
    <xf numFmtId="164" fontId="15" fillId="5" borderId="26" xfId="0" applyNumberFormat="1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 wrapText="1"/>
    </xf>
    <xf numFmtId="0" fontId="15" fillId="0" borderId="0" xfId="0" applyFont="1" applyBorder="1"/>
    <xf numFmtId="0" fontId="15" fillId="0" borderId="0" xfId="0" applyFont="1" applyBorder="1" applyAlignment="1"/>
    <xf numFmtId="0" fontId="0" fillId="0" borderId="0" xfId="0" applyBorder="1" applyAlignment="1"/>
    <xf numFmtId="0" fontId="15" fillId="0" borderId="23" xfId="0" applyFont="1" applyBorder="1"/>
    <xf numFmtId="0" fontId="8" fillId="4" borderId="6" xfId="0" applyFont="1" applyFill="1" applyBorder="1" applyAlignment="1">
      <alignment horizontal="right" vertical="center" shrinkToFit="1"/>
    </xf>
    <xf numFmtId="0" fontId="0" fillId="0" borderId="28" xfId="0" applyBorder="1" applyAlignment="1"/>
    <xf numFmtId="0" fontId="0" fillId="0" borderId="18" xfId="0" applyBorder="1" applyAlignment="1"/>
    <xf numFmtId="0" fontId="8" fillId="4" borderId="25" xfId="0" applyFont="1" applyFill="1" applyBorder="1" applyAlignment="1">
      <alignment horizontal="right" vertical="center" shrinkToFit="1"/>
    </xf>
    <xf numFmtId="0" fontId="0" fillId="0" borderId="11" xfId="0" applyBorder="1"/>
    <xf numFmtId="0" fontId="8" fillId="0" borderId="11" xfId="0" applyFont="1" applyBorder="1"/>
    <xf numFmtId="164" fontId="0" fillId="0" borderId="11" xfId="5" applyFont="1" applyBorder="1"/>
    <xf numFmtId="164" fontId="0" fillId="0" borderId="12" xfId="5" applyFont="1" applyBorder="1" applyAlignment="1"/>
    <xf numFmtId="0" fontId="0" fillId="0" borderId="7" xfId="0" applyBorder="1"/>
    <xf numFmtId="0" fontId="8" fillId="0" borderId="0" xfId="0" applyFont="1" applyFill="1" applyAlignment="1">
      <alignment horizontal="left" vertical="center"/>
    </xf>
    <xf numFmtId="164" fontId="0" fillId="0" borderId="0" xfId="0" applyNumberFormat="1" applyFill="1" applyAlignment="1">
      <alignment horizontal="center" vertical="center"/>
    </xf>
    <xf numFmtId="0" fontId="31" fillId="0" borderId="24" xfId="0" applyFont="1" applyBorder="1" applyAlignment="1">
      <alignment wrapText="1"/>
    </xf>
    <xf numFmtId="0" fontId="11" fillId="10" borderId="15" xfId="6" applyFont="1" applyFill="1" applyBorder="1" applyAlignment="1">
      <alignment horizontal="center" vertical="center"/>
    </xf>
    <xf numFmtId="0" fontId="11" fillId="4" borderId="15" xfId="6" applyFont="1" applyFill="1" applyBorder="1" applyAlignment="1">
      <alignment horizontal="center" vertical="center"/>
    </xf>
    <xf numFmtId="0" fontId="1" fillId="0" borderId="11" xfId="6" applyBorder="1" applyAlignment="1">
      <alignment horizontal="center" vertical="center"/>
    </xf>
    <xf numFmtId="0" fontId="1" fillId="0" borderId="12" xfId="6" applyBorder="1" applyAlignment="1">
      <alignment horizontal="center" vertical="center"/>
    </xf>
    <xf numFmtId="0" fontId="11" fillId="10" borderId="20" xfId="6" applyFont="1" applyFill="1" applyBorder="1" applyAlignment="1">
      <alignment horizontal="center" vertical="center"/>
    </xf>
    <xf numFmtId="0" fontId="11" fillId="4" borderId="29" xfId="6" applyFont="1" applyFill="1" applyBorder="1" applyAlignment="1">
      <alignment horizontal="center" vertical="center"/>
    </xf>
    <xf numFmtId="0" fontId="11" fillId="10" borderId="2" xfId="6" applyFont="1" applyFill="1" applyBorder="1" applyAlignment="1">
      <alignment horizontal="center" vertical="center"/>
    </xf>
    <xf numFmtId="0" fontId="11" fillId="4" borderId="2" xfId="6" applyFont="1" applyFill="1" applyBorder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168" fontId="23" fillId="0" borderId="7" xfId="0" applyNumberFormat="1" applyFont="1" applyFill="1" applyBorder="1" applyAlignment="1">
      <alignment horizontal="center" vertical="center" shrinkToFit="1"/>
    </xf>
    <xf numFmtId="168" fontId="15" fillId="8" borderId="7" xfId="0" applyNumberFormat="1" applyFont="1" applyFill="1" applyBorder="1" applyAlignment="1">
      <alignment horizontal="center" vertical="center" shrinkToFit="1"/>
    </xf>
    <xf numFmtId="169" fontId="5" fillId="0" borderId="11" xfId="0" applyNumberFormat="1" applyFont="1" applyFill="1" applyBorder="1" applyAlignment="1">
      <alignment horizontal="center" vertical="center"/>
    </xf>
    <xf numFmtId="0" fontId="3" fillId="0" borderId="3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8" fillId="4" borderId="30" xfId="0" applyFont="1" applyFill="1" applyBorder="1" applyAlignment="1">
      <alignment horizontal="right" vertical="center" shrinkToFit="1"/>
    </xf>
    <xf numFmtId="0" fontId="8" fillId="4" borderId="32" xfId="0" applyFont="1" applyFill="1" applyBorder="1" applyAlignment="1">
      <alignment horizontal="right" vertical="center" shrinkToFit="1"/>
    </xf>
    <xf numFmtId="164" fontId="15" fillId="8" borderId="7" xfId="5" applyFont="1" applyFill="1" applyBorder="1" applyAlignment="1">
      <alignment horizontal="center" vertical="center" shrinkToFit="1"/>
    </xf>
    <xf numFmtId="0" fontId="0" fillId="0" borderId="0" xfId="0"/>
    <xf numFmtId="0" fontId="1" fillId="2" borderId="13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8" fillId="4" borderId="0" xfId="0" applyFont="1" applyFill="1" applyBorder="1" applyAlignment="1">
      <alignment horizontal="right" vertical="center" shrinkToFit="1"/>
    </xf>
    <xf numFmtId="166" fontId="5" fillId="0" borderId="0" xfId="0" applyNumberFormat="1" applyFont="1" applyFill="1" applyBorder="1" applyAlignment="1">
      <alignment horizontal="center" vertical="center"/>
    </xf>
    <xf numFmtId="169" fontId="5" fillId="0" borderId="1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65" fontId="3" fillId="4" borderId="0" xfId="5" applyNumberFormat="1" applyFont="1" applyFill="1" applyBorder="1" applyAlignment="1">
      <alignment horizontal="center" vertical="center"/>
    </xf>
    <xf numFmtId="0" fontId="1" fillId="0" borderId="0" xfId="6" applyBorder="1" applyAlignment="1">
      <alignment horizontal="center" vertical="center"/>
    </xf>
    <xf numFmtId="0" fontId="11" fillId="10" borderId="35" xfId="6" applyFont="1" applyFill="1" applyBorder="1" applyAlignment="1">
      <alignment horizontal="center" vertical="center"/>
    </xf>
    <xf numFmtId="0" fontId="11" fillId="4" borderId="36" xfId="6" applyFont="1" applyFill="1" applyBorder="1" applyAlignment="1">
      <alignment horizontal="center" vertical="center"/>
    </xf>
    <xf numFmtId="0" fontId="11" fillId="10" borderId="36" xfId="6" applyFont="1" applyFill="1" applyBorder="1" applyAlignment="1">
      <alignment horizontal="center" vertical="center"/>
    </xf>
    <xf numFmtId="0" fontId="11" fillId="4" borderId="35" xfId="6" applyFont="1" applyFill="1" applyBorder="1" applyAlignment="1">
      <alignment horizontal="center" vertical="center"/>
    </xf>
    <xf numFmtId="164" fontId="3" fillId="4" borderId="12" xfId="5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 wrapText="1"/>
    </xf>
    <xf numFmtId="164" fontId="0" fillId="0" borderId="19" xfId="0" applyNumberFormat="1" applyBorder="1" applyAlignment="1">
      <alignment horizontal="center" vertical="center" wrapText="1"/>
    </xf>
    <xf numFmtId="164" fontId="3" fillId="4" borderId="3" xfId="5" applyFont="1" applyFill="1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2" fillId="12" borderId="33" xfId="0" applyFont="1" applyFill="1" applyBorder="1" applyAlignment="1">
      <alignment horizontal="left" vertical="center" wrapText="1"/>
    </xf>
    <xf numFmtId="0" fontId="32" fillId="12" borderId="22" xfId="0" applyFont="1" applyFill="1" applyBorder="1" applyAlignment="1">
      <alignment horizontal="center" vertical="center" wrapText="1"/>
    </xf>
    <xf numFmtId="2" fontId="32" fillId="12" borderId="22" xfId="0" applyNumberFormat="1" applyFont="1" applyFill="1" applyBorder="1" applyAlignment="1">
      <alignment horizontal="center" vertical="center" wrapText="1"/>
    </xf>
    <xf numFmtId="0" fontId="32" fillId="12" borderId="42" xfId="0" applyFont="1" applyFill="1" applyBorder="1" applyAlignment="1">
      <alignment horizontal="center" vertical="center" wrapText="1"/>
    </xf>
    <xf numFmtId="0" fontId="32" fillId="12" borderId="18" xfId="0" applyFont="1" applyFill="1" applyBorder="1" applyAlignment="1">
      <alignment horizontal="center" vertical="center" wrapText="1"/>
    </xf>
    <xf numFmtId="0" fontId="32" fillId="12" borderId="33" xfId="0" applyFont="1" applyFill="1" applyBorder="1" applyAlignment="1">
      <alignment horizontal="center" vertical="center" wrapText="1"/>
    </xf>
    <xf numFmtId="0" fontId="32" fillId="12" borderId="4" xfId="0" applyFont="1" applyFill="1" applyBorder="1" applyAlignment="1">
      <alignment horizontal="left" vertical="center" wrapText="1"/>
    </xf>
    <xf numFmtId="0" fontId="32" fillId="12" borderId="5" xfId="0" applyFont="1" applyFill="1" applyBorder="1" applyAlignment="1">
      <alignment horizontal="center" vertical="center" wrapText="1"/>
    </xf>
    <xf numFmtId="2" fontId="32" fillId="12" borderId="5" xfId="0" applyNumberFormat="1" applyFont="1" applyFill="1" applyBorder="1" applyAlignment="1">
      <alignment horizontal="center" vertical="center" wrapText="1"/>
    </xf>
    <xf numFmtId="0" fontId="32" fillId="12" borderId="41" xfId="0" applyFont="1" applyFill="1" applyBorder="1" applyAlignment="1">
      <alignment horizontal="center" vertical="center" wrapText="1"/>
    </xf>
    <xf numFmtId="0" fontId="32" fillId="12" borderId="4" xfId="0" applyFont="1" applyFill="1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4" fontId="1" fillId="0" borderId="0" xfId="5" applyFont="1" applyFill="1" applyBorder="1" applyAlignment="1">
      <alignment horizontal="center" vertical="center"/>
    </xf>
    <xf numFmtId="164" fontId="1" fillId="0" borderId="0" xfId="5" applyFont="1" applyFill="1" applyAlignment="1">
      <alignment horizontal="center" vertical="center"/>
    </xf>
    <xf numFmtId="9" fontId="0" fillId="0" borderId="0" xfId="10" applyFont="1" applyFill="1" applyAlignment="1">
      <alignment horizontal="center" vertical="center"/>
    </xf>
    <xf numFmtId="0" fontId="32" fillId="12" borderId="18" xfId="0" applyFont="1" applyFill="1" applyBorder="1" applyAlignment="1">
      <alignment horizontal="center" vertical="center" wrapText="1" shrinkToFit="1"/>
    </xf>
    <xf numFmtId="0" fontId="33" fillId="0" borderId="0" xfId="0" applyFont="1" applyFill="1" applyAlignment="1">
      <alignment horizontal="center" vertical="center"/>
    </xf>
    <xf numFmtId="0" fontId="4" fillId="3" borderId="14" xfId="0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15" fillId="0" borderId="0" xfId="0" applyFont="1" applyBorder="1" applyAlignment="1">
      <alignment horizontal="right"/>
    </xf>
    <xf numFmtId="0" fontId="15" fillId="0" borderId="27" xfId="0" applyFont="1" applyBorder="1" applyAlignment="1">
      <alignment horizontal="right"/>
    </xf>
    <xf numFmtId="0" fontId="0" fillId="0" borderId="0" xfId="0" applyAlignment="1">
      <alignment horizontal="right"/>
    </xf>
    <xf numFmtId="0" fontId="3" fillId="4" borderId="0" xfId="0" applyFont="1" applyFill="1" applyBorder="1" applyAlignment="1">
      <alignment horizontal="center" vertical="center"/>
    </xf>
    <xf numFmtId="0" fontId="2" fillId="12" borderId="33" xfId="1" applyFill="1" applyBorder="1" applyAlignment="1" applyProtection="1">
      <alignment horizontal="center" vertical="center" wrapText="1"/>
    </xf>
    <xf numFmtId="0" fontId="25" fillId="4" borderId="0" xfId="0" applyFont="1" applyFill="1" applyBorder="1" applyAlignment="1">
      <alignment horizontal="center" vertical="center"/>
    </xf>
    <xf numFmtId="14" fontId="3" fillId="4" borderId="0" xfId="0" applyNumberFormat="1" applyFont="1" applyFill="1" applyBorder="1" applyAlignment="1">
      <alignment horizontal="center" vertical="center"/>
    </xf>
    <xf numFmtId="164" fontId="3" fillId="4" borderId="0" xfId="5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8" fillId="0" borderId="0" xfId="0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0" fontId="34" fillId="12" borderId="22" xfId="0" applyFont="1" applyFill="1" applyBorder="1"/>
    <xf numFmtId="0" fontId="25" fillId="4" borderId="0" xfId="0" applyFont="1" applyFill="1" applyBorder="1" applyAlignment="1">
      <alignment horizontal="center" vertical="center" wrapText="1"/>
    </xf>
    <xf numFmtId="14" fontId="3" fillId="4" borderId="0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164" fontId="3" fillId="4" borderId="0" xfId="5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4" fillId="12" borderId="44" xfId="0" applyFont="1" applyFill="1" applyBorder="1" applyAlignment="1">
      <alignment horizontal="left" vertical="center" wrapText="1"/>
    </xf>
    <xf numFmtId="0" fontId="32" fillId="12" borderId="9" xfId="0" applyFont="1" applyFill="1" applyBorder="1" applyAlignment="1">
      <alignment horizontal="center" vertical="center" wrapText="1" shrinkToFit="1"/>
    </xf>
    <xf numFmtId="0" fontId="32" fillId="0" borderId="42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left" vertical="center" wrapText="1"/>
    </xf>
    <xf numFmtId="0" fontId="32" fillId="0" borderId="22" xfId="0" applyFont="1" applyBorder="1" applyAlignment="1">
      <alignment horizontal="center" vertical="center" wrapText="1"/>
    </xf>
    <xf numFmtId="0" fontId="32" fillId="0" borderId="18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center" vertical="center" wrapText="1"/>
    </xf>
    <xf numFmtId="0" fontId="32" fillId="13" borderId="33" xfId="0" applyFont="1" applyFill="1" applyBorder="1" applyAlignment="1">
      <alignment horizontal="left" vertical="center" wrapText="1"/>
    </xf>
    <xf numFmtId="0" fontId="32" fillId="13" borderId="22" xfId="0" applyFont="1" applyFill="1" applyBorder="1" applyAlignment="1">
      <alignment horizontal="center" vertical="center" wrapText="1"/>
    </xf>
    <xf numFmtId="2" fontId="32" fillId="13" borderId="22" xfId="0" applyNumberFormat="1" applyFont="1" applyFill="1" applyBorder="1" applyAlignment="1">
      <alignment horizontal="center" vertical="center" wrapText="1"/>
    </xf>
    <xf numFmtId="0" fontId="32" fillId="13" borderId="42" xfId="0" applyFont="1" applyFill="1" applyBorder="1" applyAlignment="1">
      <alignment horizontal="center" vertical="center" wrapText="1"/>
    </xf>
    <xf numFmtId="0" fontId="32" fillId="13" borderId="18" xfId="0" applyFont="1" applyFill="1" applyBorder="1" applyAlignment="1">
      <alignment horizontal="center" vertical="center" wrapText="1"/>
    </xf>
    <xf numFmtId="0" fontId="32" fillId="13" borderId="33" xfId="0" applyFont="1" applyFill="1" applyBorder="1" applyAlignment="1">
      <alignment horizontal="center" vertical="center" wrapText="1"/>
    </xf>
    <xf numFmtId="0" fontId="32" fillId="0" borderId="22" xfId="0" applyFont="1" applyFill="1" applyBorder="1" applyAlignment="1">
      <alignment horizontal="center" vertical="center" wrapText="1"/>
    </xf>
    <xf numFmtId="2" fontId="32" fillId="0" borderId="22" xfId="0" applyNumberFormat="1" applyFont="1" applyBorder="1" applyAlignment="1">
      <alignment horizontal="center" vertical="center" wrapText="1"/>
    </xf>
    <xf numFmtId="0" fontId="32" fillId="0" borderId="33" xfId="0" applyFont="1" applyFill="1" applyBorder="1" applyAlignment="1">
      <alignment horizontal="left" vertical="center" wrapText="1"/>
    </xf>
    <xf numFmtId="2" fontId="32" fillId="0" borderId="22" xfId="0" applyNumberFormat="1" applyFont="1" applyFill="1" applyBorder="1" applyAlignment="1">
      <alignment horizontal="center" vertical="center" wrapText="1"/>
    </xf>
    <xf numFmtId="0" fontId="32" fillId="0" borderId="42" xfId="0" applyFont="1" applyFill="1" applyBorder="1" applyAlignment="1">
      <alignment horizontal="center" vertical="center" wrapText="1"/>
    </xf>
    <xf numFmtId="0" fontId="32" fillId="0" borderId="18" xfId="0" applyFont="1" applyFill="1" applyBorder="1" applyAlignment="1">
      <alignment horizontal="center" vertical="center" wrapText="1"/>
    </xf>
    <xf numFmtId="0" fontId="32" fillId="0" borderId="33" xfId="0" applyFont="1" applyFill="1" applyBorder="1" applyAlignment="1">
      <alignment horizontal="center" vertical="center" wrapText="1"/>
    </xf>
    <xf numFmtId="0" fontId="8" fillId="0" borderId="31" xfId="0" applyFont="1" applyFill="1" applyBorder="1" applyAlignment="1">
      <alignment horizontal="left" vertical="center" wrapText="1" shrinkToFit="1"/>
    </xf>
    <xf numFmtId="0" fontId="32" fillId="12" borderId="9" xfId="0" applyFont="1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32" fillId="0" borderId="31" xfId="0" applyFont="1" applyBorder="1" applyAlignment="1">
      <alignment horizontal="left" vertical="center" wrapText="1"/>
    </xf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49" fontId="32" fillId="0" borderId="31" xfId="0" applyNumberFormat="1" applyFont="1" applyBorder="1" applyAlignment="1">
      <alignment horizontal="left" vertical="center" wrapText="1"/>
    </xf>
    <xf numFmtId="0" fontId="32" fillId="12" borderId="22" xfId="0" applyFont="1" applyFill="1" applyBorder="1" applyAlignment="1">
      <alignment horizontal="left" vertical="center" wrapText="1"/>
    </xf>
    <xf numFmtId="0" fontId="8" fillId="11" borderId="6" xfId="0" applyFont="1" applyFill="1" applyBorder="1" applyAlignment="1">
      <alignment horizontal="center" vertical="center" shrinkToFit="1"/>
    </xf>
    <xf numFmtId="0" fontId="5" fillId="11" borderId="43" xfId="0" applyFont="1" applyFill="1" applyBorder="1" applyAlignment="1">
      <alignment horizontal="center" vertical="center" shrinkToFit="1"/>
    </xf>
    <xf numFmtId="0" fontId="32" fillId="12" borderId="5" xfId="0" applyFont="1" applyFill="1" applyBorder="1" applyAlignment="1">
      <alignment horizontal="left" vertical="center" wrapText="1"/>
    </xf>
    <xf numFmtId="0" fontId="2" fillId="12" borderId="4" xfId="1" applyFill="1" applyBorder="1" applyAlignment="1" applyProtection="1">
      <alignment horizontal="center" vertical="center" wrapText="1"/>
    </xf>
    <xf numFmtId="0" fontId="5" fillId="11" borderId="28" xfId="0" applyFont="1" applyFill="1" applyBorder="1" applyAlignment="1">
      <alignment horizontal="center" vertical="center" shrinkToFit="1"/>
    </xf>
    <xf numFmtId="0" fontId="8" fillId="11" borderId="6" xfId="0" applyFont="1" applyFill="1" applyBorder="1" applyAlignment="1">
      <alignment horizontal="right" vertical="center" shrinkToFit="1"/>
    </xf>
    <xf numFmtId="0" fontId="32" fillId="0" borderId="42" xfId="0" applyFont="1" applyBorder="1" applyAlignment="1">
      <alignment horizontal="center" vertical="center"/>
    </xf>
    <xf numFmtId="0" fontId="32" fillId="0" borderId="31" xfId="0" applyFont="1" applyBorder="1" applyAlignment="1">
      <alignment horizontal="left" vertical="center"/>
    </xf>
    <xf numFmtId="0" fontId="32" fillId="12" borderId="33" xfId="0" applyFont="1" applyFill="1" applyBorder="1" applyAlignment="1">
      <alignment horizontal="left" vertical="center"/>
    </xf>
    <xf numFmtId="0" fontId="32" fillId="12" borderId="22" xfId="0" applyFont="1" applyFill="1" applyBorder="1" applyAlignment="1">
      <alignment horizontal="center" vertical="center"/>
    </xf>
    <xf numFmtId="2" fontId="32" fillId="12" borderId="22" xfId="0" applyNumberFormat="1" applyFont="1" applyFill="1" applyBorder="1" applyAlignment="1">
      <alignment horizontal="center" vertical="center"/>
    </xf>
    <xf numFmtId="0" fontId="32" fillId="12" borderId="42" xfId="0" applyFont="1" applyFill="1" applyBorder="1" applyAlignment="1">
      <alignment horizontal="center" vertical="center"/>
    </xf>
    <xf numFmtId="0" fontId="32" fillId="0" borderId="18" xfId="0" applyFont="1" applyBorder="1" applyAlignment="1">
      <alignment horizontal="center" vertical="center"/>
    </xf>
    <xf numFmtId="0" fontId="32" fillId="12" borderId="4" xfId="0" applyFont="1" applyFill="1" applyBorder="1" applyAlignment="1">
      <alignment horizontal="center" vertical="center"/>
    </xf>
    <xf numFmtId="0" fontId="0" fillId="0" borderId="0" xfId="0" applyAlignment="1"/>
    <xf numFmtId="0" fontId="15" fillId="0" borderId="31" xfId="0" applyFont="1" applyFill="1" applyBorder="1" applyAlignment="1">
      <alignment horizontal="left" vertical="center" shrinkToFit="1"/>
    </xf>
    <xf numFmtId="0" fontId="34" fillId="12" borderId="13" xfId="0" applyFont="1" applyFill="1" applyBorder="1" applyAlignment="1">
      <alignment horizontal="left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left" vertical="center" shrinkToFit="1"/>
    </xf>
    <xf numFmtId="0" fontId="6" fillId="0" borderId="22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2" fontId="8" fillId="0" borderId="5" xfId="0" applyNumberFormat="1" applyFont="1" applyFill="1" applyBorder="1" applyAlignment="1">
      <alignment horizontal="center" vertical="center" wrapText="1"/>
    </xf>
    <xf numFmtId="2" fontId="19" fillId="0" borderId="5" xfId="0" applyNumberFormat="1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  <xf numFmtId="0" fontId="0" fillId="0" borderId="0" xfId="0" applyFill="1" applyBorder="1" applyAlignment="1"/>
    <xf numFmtId="0" fontId="0" fillId="0" borderId="0" xfId="0" applyFill="1" applyBorder="1"/>
    <xf numFmtId="0" fontId="0" fillId="0" borderId="21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29" fillId="0" borderId="1" xfId="1" applyFont="1" applyFill="1" applyBorder="1" applyAlignment="1" applyProtection="1">
      <alignment horizontal="left" vertical="center"/>
    </xf>
    <xf numFmtId="0" fontId="30" fillId="0" borderId="1" xfId="0" applyFont="1" applyFill="1" applyBorder="1" applyAlignment="1">
      <alignment horizontal="left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22" fillId="9" borderId="21" xfId="0" applyFont="1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left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0" borderId="39" xfId="0" applyFont="1" applyFill="1" applyBorder="1" applyAlignment="1">
      <alignment horizontal="center" vertical="center" wrapText="1"/>
    </xf>
    <xf numFmtId="0" fontId="3" fillId="0" borderId="4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4" xfId="0" applyFont="1" applyFill="1" applyBorder="1" applyAlignment="1">
      <alignment horizontal="center" vertical="center" wrapText="1"/>
    </xf>
    <xf numFmtId="0" fontId="3" fillId="0" borderId="41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 shrinkToFit="1"/>
    </xf>
    <xf numFmtId="0" fontId="20" fillId="2" borderId="0" xfId="0" applyFont="1" applyFill="1" applyBorder="1" applyAlignment="1">
      <alignment horizontal="center" vertical="center" shrinkToFit="1"/>
    </xf>
    <xf numFmtId="0" fontId="8" fillId="0" borderId="0" xfId="0" applyFont="1" applyFill="1" applyBorder="1" applyAlignment="1">
      <alignment horizontal="center" vertical="center" wrapText="1"/>
    </xf>
  </cellXfs>
  <cellStyles count="11">
    <cellStyle name="Hiperłącze" xfId="1" builtinId="8"/>
    <cellStyle name="Normalny" xfId="0" builtinId="0"/>
    <cellStyle name="Normalny 2" xfId="2"/>
    <cellStyle name="Normalny 3" xfId="6"/>
    <cellStyle name="Normalny 4" xfId="3"/>
    <cellStyle name="Normalny 4 2" xfId="7"/>
    <cellStyle name="Normalny 5" xfId="4"/>
    <cellStyle name="Normalny 5 2" xfId="8"/>
    <cellStyle name="Procentowy 2" xfId="10"/>
    <cellStyle name="Walutowy" xfId="5" builtinId="4"/>
    <cellStyle name="Walutowy 2" xfId="9"/>
  </cellStyles>
  <dxfs count="449"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448"/>
      <tableStyleElement type="headerRow" dxfId="447"/>
    </tableStyle>
  </tableStyles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s://www.tim.pl/dlawnica-kablowa-iso-16-ip68-z-tworzywa-jasnoszara-098001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im.pl/dlawnica-kablowa-iso-16-ip68-z-tworzywa-jasnoszara-098001" TargetMode="External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://www.klusdesign.pl/products/show/187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im.pl/dlawnica-kablowa-iso-16-ip68-z-tworzywa-jasnoszara-098001" TargetMode="External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://www.klusdesign.pl/products/show/187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Relationship Id="rId9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>
    <tabColor indexed="10"/>
    <pageSetUpPr fitToPage="1"/>
  </sheetPr>
  <dimension ref="A1:CO397"/>
  <sheetViews>
    <sheetView zoomScaleNormal="100" workbookViewId="0">
      <pane ySplit="6" topLeftCell="A7" activePane="bottomLeft" state="frozen"/>
      <selection pane="bottomLeft" activeCell="I101" sqref="I101"/>
    </sheetView>
  </sheetViews>
  <sheetFormatPr defaultColWidth="9.140625" defaultRowHeight="12.75" outlineLevelRow="2" outlineLevelCol="1" x14ac:dyDescent="0.2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 x14ac:dyDescent="0.2">
      <c r="A1" s="77"/>
      <c r="B1" s="1"/>
      <c r="C1" s="15" t="s">
        <v>1</v>
      </c>
      <c r="D1" s="54" t="s">
        <v>102</v>
      </c>
      <c r="E1" s="15"/>
      <c r="F1" s="15"/>
      <c r="G1" s="269" t="s">
        <v>9</v>
      </c>
      <c r="H1" s="269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 x14ac:dyDescent="0.2">
      <c r="A2" s="77"/>
      <c r="B2" s="1"/>
      <c r="C2" s="15" t="s">
        <v>14</v>
      </c>
      <c r="D2" s="172"/>
      <c r="E2" s="53"/>
      <c r="F2" s="53"/>
      <c r="G2" s="270" t="s">
        <v>836</v>
      </c>
      <c r="H2" s="270"/>
      <c r="I2" s="271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 x14ac:dyDescent="0.25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 x14ac:dyDescent="0.25">
      <c r="A4" s="77"/>
      <c r="B4" s="1"/>
      <c r="C4" s="15" t="s">
        <v>33</v>
      </c>
      <c r="D4" s="272" t="str">
        <f>G294</f>
        <v>Obróbka wstępna: piaskowanie
Gruntowanie
Malowanie proszkowe: 
Pozycja 1. stelaż: biały (RAL 9003 )
Łączna grubość pokrycia: min. 90 µm warstwy suchej
Kooperant: Met-Kolor s.c.
Mariana Rapackiego 20, 20-151 Lublin</v>
      </c>
      <c r="E4" s="272"/>
      <c r="F4" s="272"/>
      <c r="G4" s="13" t="s">
        <v>11</v>
      </c>
      <c r="H4" s="221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51" t="s">
        <v>27</v>
      </c>
      <c r="R4" s="252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 x14ac:dyDescent="0.25">
      <c r="A5" s="77"/>
      <c r="B5" s="1"/>
      <c r="C5" s="253" t="s">
        <v>43</v>
      </c>
      <c r="D5" s="254"/>
      <c r="E5" s="11"/>
      <c r="F5" s="255" t="s">
        <v>30</v>
      </c>
      <c r="G5" s="256"/>
      <c r="H5" s="13"/>
      <c r="I5" s="14"/>
      <c r="K5" s="257" t="s">
        <v>34</v>
      </c>
      <c r="L5" s="258"/>
      <c r="M5" s="63"/>
      <c r="N5" s="63"/>
      <c r="O5" s="251" t="s">
        <v>24</v>
      </c>
      <c r="P5" s="252"/>
      <c r="Q5" s="52"/>
      <c r="R5" s="219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 x14ac:dyDescent="0.25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20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 x14ac:dyDescent="0.2">
      <c r="A7" s="229" t="s">
        <v>237</v>
      </c>
      <c r="B7" s="239" t="s">
        <v>84</v>
      </c>
      <c r="C7" s="242" t="s">
        <v>955</v>
      </c>
      <c r="D7" s="243" t="s">
        <v>957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 x14ac:dyDescent="0.2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204" t="s">
        <v>951</v>
      </c>
      <c r="J8" s="199"/>
      <c r="AN8" s="131">
        <v>2</v>
      </c>
    </row>
    <row r="9" spans="1:93" s="131" customFormat="1" outlineLevel="1" x14ac:dyDescent="0.2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 t="s">
        <v>951</v>
      </c>
      <c r="J9" s="205"/>
      <c r="AN9" s="131">
        <v>3</v>
      </c>
    </row>
    <row r="10" spans="1:93" s="131" customFormat="1" outlineLevel="1" x14ac:dyDescent="0.2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 t="s">
        <v>951</v>
      </c>
      <c r="J10" s="205"/>
      <c r="AN10" s="131">
        <v>3</v>
      </c>
    </row>
    <row r="11" spans="1:93" s="131" customFormat="1" outlineLevel="1" x14ac:dyDescent="0.2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 t="s">
        <v>951</v>
      </c>
      <c r="J11" s="205"/>
      <c r="AN11" s="131">
        <v>3</v>
      </c>
    </row>
    <row r="12" spans="1:93" s="131" customFormat="1" outlineLevel="1" x14ac:dyDescent="0.2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 t="s">
        <v>951</v>
      </c>
      <c r="J12" s="205"/>
      <c r="AN12" s="131">
        <v>3</v>
      </c>
    </row>
    <row r="13" spans="1:93" s="131" customFormat="1" outlineLevel="1" x14ac:dyDescent="0.2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 t="s">
        <v>951</v>
      </c>
      <c r="J13" s="205"/>
      <c r="AN13" s="131">
        <v>3</v>
      </c>
    </row>
    <row r="14" spans="1:93" s="131" customFormat="1" outlineLevel="1" x14ac:dyDescent="0.2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 t="s">
        <v>951</v>
      </c>
      <c r="J14" s="205"/>
      <c r="AN14" s="131">
        <v>3</v>
      </c>
    </row>
    <row r="15" spans="1:93" s="131" customFormat="1" outlineLevel="1" x14ac:dyDescent="0.2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 t="s">
        <v>951</v>
      </c>
      <c r="J15" s="205"/>
      <c r="AN15" s="131">
        <v>3</v>
      </c>
    </row>
    <row r="16" spans="1:93" s="131" customFormat="1" outlineLevel="1" x14ac:dyDescent="0.2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 t="s">
        <v>951</v>
      </c>
      <c r="J16" s="205"/>
      <c r="AN16" s="131">
        <v>3</v>
      </c>
    </row>
    <row r="17" spans="1:40" s="131" customFormat="1" outlineLevel="1" x14ac:dyDescent="0.2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 t="s">
        <v>951</v>
      </c>
      <c r="J17" s="205"/>
      <c r="AN17" s="131">
        <v>3</v>
      </c>
    </row>
    <row r="18" spans="1:40" s="131" customFormat="1" outlineLevel="1" x14ac:dyDescent="0.2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 t="s">
        <v>951</v>
      </c>
      <c r="J18" s="205"/>
      <c r="AN18" s="131">
        <v>3</v>
      </c>
    </row>
    <row r="19" spans="1:40" s="131" customFormat="1" outlineLevel="1" x14ac:dyDescent="0.2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 t="s">
        <v>951</v>
      </c>
      <c r="J19" s="205"/>
      <c r="AN19" s="131">
        <v>3</v>
      </c>
    </row>
    <row r="20" spans="1:40" s="131" customFormat="1" outlineLevel="1" x14ac:dyDescent="0.2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 t="s">
        <v>951</v>
      </c>
      <c r="J20" s="205"/>
      <c r="AN20" s="131">
        <v>3</v>
      </c>
    </row>
    <row r="21" spans="1:40" s="131" customFormat="1" outlineLevel="1" x14ac:dyDescent="0.2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 t="s">
        <v>951</v>
      </c>
      <c r="J21" s="205"/>
      <c r="AN21" s="131">
        <v>3</v>
      </c>
    </row>
    <row r="22" spans="1:40" s="131" customFormat="1" outlineLevel="1" x14ac:dyDescent="0.2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 t="s">
        <v>951</v>
      </c>
      <c r="J22" s="205"/>
      <c r="AN22" s="131">
        <v>3</v>
      </c>
    </row>
    <row r="23" spans="1:40" s="131" customFormat="1" outlineLevel="1" x14ac:dyDescent="0.2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 t="s">
        <v>951</v>
      </c>
      <c r="J23" s="205"/>
      <c r="AN23" s="131">
        <v>3</v>
      </c>
    </row>
    <row r="24" spans="1:40" s="131" customFormat="1" outlineLevel="1" x14ac:dyDescent="0.2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204" t="s">
        <v>951</v>
      </c>
      <c r="J24" s="158"/>
      <c r="AN24" s="131">
        <v>3</v>
      </c>
    </row>
    <row r="25" spans="1:40" s="131" customFormat="1" x14ac:dyDescent="0.2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 x14ac:dyDescent="0.2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 x14ac:dyDescent="0.2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 x14ac:dyDescent="0.2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 x14ac:dyDescent="0.2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 x14ac:dyDescent="0.2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 x14ac:dyDescent="0.2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 x14ac:dyDescent="0.2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 x14ac:dyDescent="0.2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 x14ac:dyDescent="0.2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 x14ac:dyDescent="0.2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 x14ac:dyDescent="0.2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 x14ac:dyDescent="0.2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 x14ac:dyDescent="0.2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 x14ac:dyDescent="0.2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 x14ac:dyDescent="0.2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 x14ac:dyDescent="0.2">
      <c r="A41" s="195" t="s">
        <v>237</v>
      </c>
      <c r="B41" s="222" t="s">
        <v>86</v>
      </c>
      <c r="C41" s="196" t="s">
        <v>937</v>
      </c>
      <c r="D41" s="197" t="s">
        <v>119</v>
      </c>
      <c r="E41" s="197">
        <v>1</v>
      </c>
      <c r="F41" s="197"/>
      <c r="G41" s="197"/>
      <c r="H41" s="195"/>
      <c r="I41" s="198" t="s">
        <v>938</v>
      </c>
      <c r="J41" s="199"/>
      <c r="AN41" s="131">
        <v>2</v>
      </c>
    </row>
    <row r="42" spans="1:40" s="131" customFormat="1" x14ac:dyDescent="0.2">
      <c r="A42" s="195" t="s">
        <v>213</v>
      </c>
      <c r="B42" s="222" t="s">
        <v>300</v>
      </c>
      <c r="C42" s="200" t="s">
        <v>238</v>
      </c>
      <c r="D42" s="201" t="s">
        <v>239</v>
      </c>
      <c r="E42" s="201">
        <v>2</v>
      </c>
      <c r="F42" s="202">
        <v>4.16241971</v>
      </c>
      <c r="G42" s="202">
        <f t="shared" ref="G42:G50" si="2">F42*E42</f>
        <v>8.32483942</v>
      </c>
      <c r="H42" s="203" t="s">
        <v>126</v>
      </c>
      <c r="I42" s="198" t="s">
        <v>938</v>
      </c>
      <c r="J42" s="205"/>
      <c r="AN42" s="131">
        <v>3</v>
      </c>
    </row>
    <row r="43" spans="1:40" s="131" customFormat="1" x14ac:dyDescent="0.2">
      <c r="A43" s="195" t="s">
        <v>213</v>
      </c>
      <c r="B43" s="222" t="s">
        <v>301</v>
      </c>
      <c r="C43" s="200" t="s">
        <v>240</v>
      </c>
      <c r="D43" s="201" t="s">
        <v>241</v>
      </c>
      <c r="E43" s="201">
        <v>2</v>
      </c>
      <c r="F43" s="202">
        <v>4.8122980000000002</v>
      </c>
      <c r="G43" s="202">
        <f t="shared" si="2"/>
        <v>9.6245960000000004</v>
      </c>
      <c r="H43" s="203" t="s">
        <v>126</v>
      </c>
      <c r="I43" s="198" t="s">
        <v>938</v>
      </c>
      <c r="J43" s="205"/>
      <c r="AN43" s="131">
        <v>3</v>
      </c>
    </row>
    <row r="44" spans="1:40" s="131" customFormat="1" x14ac:dyDescent="0.2">
      <c r="A44" s="195" t="s">
        <v>213</v>
      </c>
      <c r="B44" s="222" t="s">
        <v>302</v>
      </c>
      <c r="C44" s="200" t="s">
        <v>433</v>
      </c>
      <c r="D44" s="201" t="s">
        <v>434</v>
      </c>
      <c r="E44" s="201">
        <v>4</v>
      </c>
      <c r="F44" s="202">
        <v>0.17624634</v>
      </c>
      <c r="G44" s="202">
        <f t="shared" si="2"/>
        <v>0.70498536000000001</v>
      </c>
      <c r="H44" s="203" t="s">
        <v>126</v>
      </c>
      <c r="I44" s="198" t="s">
        <v>938</v>
      </c>
      <c r="J44" s="205"/>
      <c r="AN44" s="131">
        <v>3</v>
      </c>
    </row>
    <row r="45" spans="1:40" s="131" customFormat="1" x14ac:dyDescent="0.2">
      <c r="A45" s="195" t="s">
        <v>213</v>
      </c>
      <c r="B45" s="222" t="s">
        <v>303</v>
      </c>
      <c r="C45" s="200" t="s">
        <v>245</v>
      </c>
      <c r="D45" s="201" t="s">
        <v>246</v>
      </c>
      <c r="E45" s="201">
        <v>1</v>
      </c>
      <c r="F45" s="202">
        <v>0.53866608000000005</v>
      </c>
      <c r="G45" s="202">
        <f t="shared" si="2"/>
        <v>0.53866608000000005</v>
      </c>
      <c r="H45" s="203" t="s">
        <v>126</v>
      </c>
      <c r="I45" s="198" t="s">
        <v>938</v>
      </c>
      <c r="J45" s="205"/>
      <c r="AN45" s="131">
        <v>3</v>
      </c>
    </row>
    <row r="46" spans="1:40" s="131" customFormat="1" x14ac:dyDescent="0.2">
      <c r="A46" s="195" t="s">
        <v>213</v>
      </c>
      <c r="B46" s="222" t="s">
        <v>304</v>
      </c>
      <c r="C46" s="200" t="s">
        <v>382</v>
      </c>
      <c r="D46" s="201" t="s">
        <v>383</v>
      </c>
      <c r="E46" s="201">
        <v>1</v>
      </c>
      <c r="F46" s="202">
        <v>7.19524E-2</v>
      </c>
      <c r="G46" s="202">
        <f t="shared" si="2"/>
        <v>7.19524E-2</v>
      </c>
      <c r="H46" s="203" t="s">
        <v>126</v>
      </c>
      <c r="I46" s="198" t="s">
        <v>938</v>
      </c>
      <c r="J46" s="205"/>
      <c r="AN46" s="131">
        <v>3</v>
      </c>
    </row>
    <row r="47" spans="1:40" s="131" customFormat="1" x14ac:dyDescent="0.2">
      <c r="A47" s="195" t="s">
        <v>213</v>
      </c>
      <c r="B47" s="222" t="s">
        <v>305</v>
      </c>
      <c r="C47" s="200" t="s">
        <v>248</v>
      </c>
      <c r="D47" s="201" t="s">
        <v>367</v>
      </c>
      <c r="E47" s="201">
        <v>2</v>
      </c>
      <c r="F47" s="202">
        <v>4.5460680000000003E-2</v>
      </c>
      <c r="G47" s="202">
        <f t="shared" si="2"/>
        <v>9.0921360000000007E-2</v>
      </c>
      <c r="H47" s="203" t="s">
        <v>126</v>
      </c>
      <c r="I47" s="198" t="s">
        <v>938</v>
      </c>
      <c r="J47" s="205"/>
      <c r="AN47" s="131">
        <v>3</v>
      </c>
    </row>
    <row r="48" spans="1:40" s="131" customFormat="1" x14ac:dyDescent="0.2">
      <c r="A48" s="195" t="s">
        <v>213</v>
      </c>
      <c r="B48" s="222" t="s">
        <v>306</v>
      </c>
      <c r="C48" s="200" t="s">
        <v>249</v>
      </c>
      <c r="D48" s="201" t="s">
        <v>367</v>
      </c>
      <c r="E48" s="201">
        <v>2</v>
      </c>
      <c r="F48" s="202">
        <v>4.5459329999999999E-2</v>
      </c>
      <c r="G48" s="202">
        <f t="shared" si="2"/>
        <v>9.0918659999999998E-2</v>
      </c>
      <c r="H48" s="203" t="s">
        <v>126</v>
      </c>
      <c r="I48" s="198" t="s">
        <v>938</v>
      </c>
      <c r="J48" s="205"/>
      <c r="AN48" s="131">
        <v>3</v>
      </c>
    </row>
    <row r="49" spans="1:40" s="131" customFormat="1" x14ac:dyDescent="0.2">
      <c r="A49" s="195" t="s">
        <v>213</v>
      </c>
      <c r="B49" s="222" t="s">
        <v>307</v>
      </c>
      <c r="C49" s="200" t="s">
        <v>385</v>
      </c>
      <c r="D49" s="201" t="s">
        <v>386</v>
      </c>
      <c r="E49" s="201">
        <v>1</v>
      </c>
      <c r="F49" s="202">
        <v>0.12992333</v>
      </c>
      <c r="G49" s="202">
        <f t="shared" si="2"/>
        <v>0.12992333</v>
      </c>
      <c r="H49" s="203" t="s">
        <v>126</v>
      </c>
      <c r="I49" s="198" t="s">
        <v>938</v>
      </c>
      <c r="J49" s="205"/>
      <c r="AN49" s="131">
        <v>3</v>
      </c>
    </row>
    <row r="50" spans="1:40" s="131" customFormat="1" x14ac:dyDescent="0.2">
      <c r="A50" s="195" t="s">
        <v>162</v>
      </c>
      <c r="B50" s="222" t="s">
        <v>308</v>
      </c>
      <c r="C50" s="153" t="s">
        <v>252</v>
      </c>
      <c r="D50" s="154" t="s">
        <v>253</v>
      </c>
      <c r="E50" s="154">
        <v>4</v>
      </c>
      <c r="F50" s="155">
        <v>4.0660700000000001E-2</v>
      </c>
      <c r="G50" s="155">
        <f t="shared" si="2"/>
        <v>0.1626428</v>
      </c>
      <c r="H50" s="156"/>
      <c r="I50" s="198" t="s">
        <v>938</v>
      </c>
      <c r="J50" s="158"/>
      <c r="AN50" s="131">
        <v>3</v>
      </c>
    </row>
    <row r="51" spans="1:40" s="131" customFormat="1" x14ac:dyDescent="0.2">
      <c r="A51" s="195" t="s">
        <v>237</v>
      </c>
      <c r="B51" s="218" t="s">
        <v>87</v>
      </c>
      <c r="C51" s="196" t="s">
        <v>439</v>
      </c>
      <c r="D51" s="197" t="s">
        <v>120</v>
      </c>
      <c r="E51" s="197">
        <v>1</v>
      </c>
      <c r="F51" s="207"/>
      <c r="G51" s="207" t="str">
        <f>""</f>
        <v/>
      </c>
      <c r="H51" s="195"/>
      <c r="I51" s="198"/>
      <c r="J51" s="199"/>
      <c r="AN51" s="131">
        <v>2</v>
      </c>
    </row>
    <row r="52" spans="1:40" s="131" customFormat="1" outlineLevel="1" x14ac:dyDescent="0.2">
      <c r="A52" s="195" t="s">
        <v>213</v>
      </c>
      <c r="B52" s="218" t="s">
        <v>316</v>
      </c>
      <c r="C52" s="200" t="s">
        <v>254</v>
      </c>
      <c r="D52" s="201" t="s">
        <v>255</v>
      </c>
      <c r="E52" s="201">
        <f>2*1</f>
        <v>2</v>
      </c>
      <c r="F52" s="202">
        <v>1.3699131200000001</v>
      </c>
      <c r="G52" s="202">
        <f t="shared" ref="G52:G58" si="3">F52*E52</f>
        <v>2.7398262400000002</v>
      </c>
      <c r="H52" s="203" t="s">
        <v>126</v>
      </c>
      <c r="I52" s="204"/>
      <c r="J52" s="205"/>
      <c r="AN52" s="131">
        <v>3</v>
      </c>
    </row>
    <row r="53" spans="1:40" s="131" customFormat="1" outlineLevel="1" x14ac:dyDescent="0.2">
      <c r="A53" s="195" t="s">
        <v>213</v>
      </c>
      <c r="B53" s="218" t="s">
        <v>317</v>
      </c>
      <c r="C53" s="200" t="s">
        <v>256</v>
      </c>
      <c r="D53" s="201" t="s">
        <v>257</v>
      </c>
      <c r="E53" s="201">
        <f>1*1</f>
        <v>1</v>
      </c>
      <c r="F53" s="202">
        <v>1.09654622</v>
      </c>
      <c r="G53" s="202">
        <f t="shared" si="3"/>
        <v>1.09654622</v>
      </c>
      <c r="H53" s="203" t="s">
        <v>126</v>
      </c>
      <c r="I53" s="204"/>
      <c r="J53" s="205"/>
      <c r="AN53" s="131">
        <v>3</v>
      </c>
    </row>
    <row r="54" spans="1:40" s="131" customFormat="1" outlineLevel="1" x14ac:dyDescent="0.2">
      <c r="A54" s="195" t="s">
        <v>213</v>
      </c>
      <c r="B54" s="218" t="s">
        <v>318</v>
      </c>
      <c r="C54" s="200" t="s">
        <v>258</v>
      </c>
      <c r="D54" s="201" t="s">
        <v>440</v>
      </c>
      <c r="E54" s="201">
        <f>1*1</f>
        <v>1</v>
      </c>
      <c r="F54" s="202">
        <v>1.0965381599999999</v>
      </c>
      <c r="G54" s="202">
        <f t="shared" si="3"/>
        <v>1.0965381599999999</v>
      </c>
      <c r="H54" s="203" t="s">
        <v>126</v>
      </c>
      <c r="I54" s="204"/>
      <c r="J54" s="205"/>
      <c r="AN54" s="131">
        <v>3</v>
      </c>
    </row>
    <row r="55" spans="1:40" s="131" customFormat="1" outlineLevel="1" x14ac:dyDescent="0.2">
      <c r="A55" s="195" t="s">
        <v>213</v>
      </c>
      <c r="B55" s="218" t="s">
        <v>319</v>
      </c>
      <c r="C55" s="200" t="s">
        <v>259</v>
      </c>
      <c r="D55" s="201" t="s">
        <v>260</v>
      </c>
      <c r="E55" s="201">
        <f>1*1</f>
        <v>1</v>
      </c>
      <c r="F55" s="202">
        <v>0.49976885999999998</v>
      </c>
      <c r="G55" s="202">
        <f t="shared" si="3"/>
        <v>0.49976885999999998</v>
      </c>
      <c r="H55" s="203" t="s">
        <v>126</v>
      </c>
      <c r="I55" s="204"/>
      <c r="J55" s="205"/>
      <c r="AN55" s="131">
        <v>3</v>
      </c>
    </row>
    <row r="56" spans="1:40" s="131" customFormat="1" outlineLevel="1" x14ac:dyDescent="0.2">
      <c r="A56" s="195" t="s">
        <v>213</v>
      </c>
      <c r="B56" s="218" t="s">
        <v>320</v>
      </c>
      <c r="C56" s="200" t="s">
        <v>441</v>
      </c>
      <c r="D56" s="201" t="s">
        <v>442</v>
      </c>
      <c r="E56" s="201">
        <f>2*1</f>
        <v>2</v>
      </c>
      <c r="F56" s="202">
        <v>4.008548E-2</v>
      </c>
      <c r="G56" s="202">
        <f t="shared" si="3"/>
        <v>8.0170959999999999E-2</v>
      </c>
      <c r="H56" s="203" t="s">
        <v>126</v>
      </c>
      <c r="I56" s="204"/>
      <c r="J56" s="205"/>
      <c r="AN56" s="131">
        <v>3</v>
      </c>
    </row>
    <row r="57" spans="1:40" s="131" customFormat="1" outlineLevel="1" x14ac:dyDescent="0.2">
      <c r="A57" s="195" t="s">
        <v>213</v>
      </c>
      <c r="B57" s="218" t="s">
        <v>321</v>
      </c>
      <c r="C57" s="200" t="s">
        <v>261</v>
      </c>
      <c r="D57" s="201" t="s">
        <v>443</v>
      </c>
      <c r="E57" s="201">
        <f>1*1</f>
        <v>1</v>
      </c>
      <c r="F57" s="202">
        <v>0.25066654999999999</v>
      </c>
      <c r="G57" s="202">
        <f t="shared" si="3"/>
        <v>0.25066654999999999</v>
      </c>
      <c r="H57" s="203" t="s">
        <v>126</v>
      </c>
      <c r="I57" s="204"/>
      <c r="J57" s="205"/>
      <c r="AN57" s="131">
        <v>3</v>
      </c>
    </row>
    <row r="58" spans="1:40" s="131" customFormat="1" outlineLevel="1" x14ac:dyDescent="0.2">
      <c r="A58" s="195" t="s">
        <v>213</v>
      </c>
      <c r="B58" s="218" t="s">
        <v>322</v>
      </c>
      <c r="C58" s="200" t="s">
        <v>402</v>
      </c>
      <c r="D58" s="201" t="s">
        <v>403</v>
      </c>
      <c r="E58" s="201">
        <f>1*1</f>
        <v>1</v>
      </c>
      <c r="F58" s="202">
        <v>0.46376856</v>
      </c>
      <c r="G58" s="202">
        <f t="shared" si="3"/>
        <v>0.46376856</v>
      </c>
      <c r="H58" s="203" t="s">
        <v>126</v>
      </c>
      <c r="I58" s="204"/>
      <c r="J58" s="205"/>
      <c r="AN58" s="131">
        <v>3</v>
      </c>
    </row>
    <row r="59" spans="1:40" s="131" customFormat="1" x14ac:dyDescent="0.2">
      <c r="A59" s="195" t="s">
        <v>237</v>
      </c>
      <c r="B59" s="222" t="s">
        <v>87</v>
      </c>
      <c r="C59" s="196" t="s">
        <v>958</v>
      </c>
      <c r="D59" s="197" t="s">
        <v>120</v>
      </c>
      <c r="E59" s="197">
        <v>1</v>
      </c>
      <c r="F59" s="197"/>
      <c r="G59" s="197"/>
      <c r="H59" s="195"/>
      <c r="I59" s="198" t="s">
        <v>959</v>
      </c>
      <c r="J59" s="199"/>
      <c r="AN59" s="131">
        <v>2</v>
      </c>
    </row>
    <row r="60" spans="1:40" s="131" customFormat="1" x14ac:dyDescent="0.2">
      <c r="A60" s="195" t="s">
        <v>213</v>
      </c>
      <c r="B60" s="222" t="s">
        <v>316</v>
      </c>
      <c r="C60" s="200" t="s">
        <v>254</v>
      </c>
      <c r="D60" s="201" t="s">
        <v>255</v>
      </c>
      <c r="E60" s="201">
        <v>2</v>
      </c>
      <c r="F60" s="202">
        <v>1.3699131200000001</v>
      </c>
      <c r="G60" s="202">
        <f t="shared" ref="G60:G66" si="4">F60*E60</f>
        <v>2.7398262400000002</v>
      </c>
      <c r="H60" s="203" t="s">
        <v>126</v>
      </c>
      <c r="I60" s="198" t="s">
        <v>959</v>
      </c>
      <c r="J60" s="205"/>
      <c r="AN60" s="131">
        <v>3</v>
      </c>
    </row>
    <row r="61" spans="1:40" s="131" customFormat="1" x14ac:dyDescent="0.2">
      <c r="A61" s="195" t="s">
        <v>213</v>
      </c>
      <c r="B61" s="222" t="s">
        <v>317</v>
      </c>
      <c r="C61" s="200" t="s">
        <v>256</v>
      </c>
      <c r="D61" s="201" t="s">
        <v>257</v>
      </c>
      <c r="E61" s="201">
        <v>1</v>
      </c>
      <c r="F61" s="202">
        <v>1.09654622</v>
      </c>
      <c r="G61" s="202">
        <f t="shared" si="4"/>
        <v>1.09654622</v>
      </c>
      <c r="H61" s="203" t="s">
        <v>126</v>
      </c>
      <c r="I61" s="198" t="s">
        <v>959</v>
      </c>
      <c r="J61" s="205"/>
      <c r="AN61" s="131">
        <v>3</v>
      </c>
    </row>
    <row r="62" spans="1:40" s="131" customFormat="1" x14ac:dyDescent="0.2">
      <c r="A62" s="195" t="s">
        <v>213</v>
      </c>
      <c r="B62" s="222" t="s">
        <v>318</v>
      </c>
      <c r="C62" s="200" t="s">
        <v>258</v>
      </c>
      <c r="D62" s="201" t="s">
        <v>440</v>
      </c>
      <c r="E62" s="201">
        <v>1</v>
      </c>
      <c r="F62" s="202">
        <v>1.0965381599999999</v>
      </c>
      <c r="G62" s="202">
        <f t="shared" si="4"/>
        <v>1.0965381599999999</v>
      </c>
      <c r="H62" s="203" t="s">
        <v>126</v>
      </c>
      <c r="I62" s="198" t="s">
        <v>959</v>
      </c>
      <c r="J62" s="205"/>
      <c r="AN62" s="131">
        <v>3</v>
      </c>
    </row>
    <row r="63" spans="1:40" s="131" customFormat="1" x14ac:dyDescent="0.2">
      <c r="A63" s="195" t="s">
        <v>213</v>
      </c>
      <c r="B63" s="222" t="s">
        <v>319</v>
      </c>
      <c r="C63" s="200" t="s">
        <v>259</v>
      </c>
      <c r="D63" s="201" t="s">
        <v>260</v>
      </c>
      <c r="E63" s="201">
        <v>1</v>
      </c>
      <c r="F63" s="202">
        <v>0.49976885999999998</v>
      </c>
      <c r="G63" s="202">
        <f t="shared" si="4"/>
        <v>0.49976885999999998</v>
      </c>
      <c r="H63" s="203" t="s">
        <v>126</v>
      </c>
      <c r="I63" s="198" t="s">
        <v>959</v>
      </c>
      <c r="J63" s="205"/>
      <c r="AN63" s="131">
        <v>3</v>
      </c>
    </row>
    <row r="64" spans="1:40" s="131" customFormat="1" x14ac:dyDescent="0.2">
      <c r="A64" s="195" t="s">
        <v>213</v>
      </c>
      <c r="B64" s="222" t="s">
        <v>320</v>
      </c>
      <c r="C64" s="200" t="s">
        <v>441</v>
      </c>
      <c r="D64" s="201" t="s">
        <v>442</v>
      </c>
      <c r="E64" s="201">
        <v>2</v>
      </c>
      <c r="F64" s="202">
        <v>4.008548E-2</v>
      </c>
      <c r="G64" s="202">
        <f t="shared" si="4"/>
        <v>8.0170959999999999E-2</v>
      </c>
      <c r="H64" s="203" t="s">
        <v>126</v>
      </c>
      <c r="I64" s="198" t="s">
        <v>959</v>
      </c>
      <c r="J64" s="205"/>
      <c r="AN64" s="131">
        <v>3</v>
      </c>
    </row>
    <row r="65" spans="1:40" s="131" customFormat="1" x14ac:dyDescent="0.2">
      <c r="A65" s="195" t="s">
        <v>213</v>
      </c>
      <c r="B65" s="222" t="s">
        <v>321</v>
      </c>
      <c r="C65" s="200" t="s">
        <v>261</v>
      </c>
      <c r="D65" s="201" t="s">
        <v>443</v>
      </c>
      <c r="E65" s="201">
        <v>1</v>
      </c>
      <c r="F65" s="202">
        <v>0.25066654999999999</v>
      </c>
      <c r="G65" s="202">
        <f t="shared" si="4"/>
        <v>0.25066654999999999</v>
      </c>
      <c r="H65" s="203" t="s">
        <v>126</v>
      </c>
      <c r="I65" s="198" t="s">
        <v>959</v>
      </c>
      <c r="J65" s="205"/>
      <c r="AN65" s="131">
        <v>3</v>
      </c>
    </row>
    <row r="66" spans="1:40" s="131" customFormat="1" x14ac:dyDescent="0.2">
      <c r="A66" s="195" t="s">
        <v>213</v>
      </c>
      <c r="B66" s="222" t="s">
        <v>322</v>
      </c>
      <c r="C66" s="200" t="s">
        <v>402</v>
      </c>
      <c r="D66" s="201" t="s">
        <v>403</v>
      </c>
      <c r="E66" s="201">
        <v>1</v>
      </c>
      <c r="F66" s="202">
        <v>0.46376856</v>
      </c>
      <c r="G66" s="202">
        <f t="shared" si="4"/>
        <v>0.46376856</v>
      </c>
      <c r="H66" s="203" t="s">
        <v>126</v>
      </c>
      <c r="I66" s="198" t="s">
        <v>959</v>
      </c>
      <c r="J66" s="205"/>
      <c r="AN66" s="131">
        <v>3</v>
      </c>
    </row>
    <row r="67" spans="1:40" s="131" customFormat="1" x14ac:dyDescent="0.2">
      <c r="A67" s="195" t="s">
        <v>237</v>
      </c>
      <c r="B67" s="218" t="s">
        <v>88</v>
      </c>
      <c r="C67" s="196" t="s">
        <v>444</v>
      </c>
      <c r="D67" s="197" t="s">
        <v>121</v>
      </c>
      <c r="E67" s="197">
        <v>1</v>
      </c>
      <c r="F67" s="207"/>
      <c r="G67" s="207" t="str">
        <f>""</f>
        <v/>
      </c>
      <c r="H67" s="195"/>
      <c r="I67" s="198"/>
      <c r="J67" s="199"/>
      <c r="AN67" s="131">
        <v>2</v>
      </c>
    </row>
    <row r="68" spans="1:40" s="131" customFormat="1" outlineLevel="1" x14ac:dyDescent="0.2">
      <c r="A68" s="195" t="s">
        <v>213</v>
      </c>
      <c r="B68" s="218" t="s">
        <v>323</v>
      </c>
      <c r="C68" s="200" t="s">
        <v>262</v>
      </c>
      <c r="D68" s="201" t="s">
        <v>255</v>
      </c>
      <c r="E68" s="201">
        <f>2*1</f>
        <v>2</v>
      </c>
      <c r="F68" s="202">
        <v>1.37</v>
      </c>
      <c r="G68" s="202">
        <f t="shared" ref="G68:G73" si="5">F68*E68</f>
        <v>2.74</v>
      </c>
      <c r="H68" s="203" t="s">
        <v>126</v>
      </c>
      <c r="I68" s="204"/>
      <c r="J68" s="205"/>
      <c r="AN68" s="131">
        <v>3</v>
      </c>
    </row>
    <row r="69" spans="1:40" s="131" customFormat="1" outlineLevel="1" x14ac:dyDescent="0.2">
      <c r="A69" s="195" t="s">
        <v>213</v>
      </c>
      <c r="B69" s="218" t="s">
        <v>324</v>
      </c>
      <c r="C69" s="200" t="s">
        <v>256</v>
      </c>
      <c r="D69" s="201" t="s">
        <v>257</v>
      </c>
      <c r="E69" s="201">
        <f>1*1</f>
        <v>1</v>
      </c>
      <c r="F69" s="202">
        <v>1.1000000000000001</v>
      </c>
      <c r="G69" s="202">
        <f t="shared" si="5"/>
        <v>1.1000000000000001</v>
      </c>
      <c r="H69" s="203" t="s">
        <v>126</v>
      </c>
      <c r="I69" s="204"/>
      <c r="J69" s="205"/>
      <c r="AN69" s="131">
        <v>3</v>
      </c>
    </row>
    <row r="70" spans="1:40" s="131" customFormat="1" outlineLevel="1" x14ac:dyDescent="0.2">
      <c r="A70" s="195" t="s">
        <v>213</v>
      </c>
      <c r="B70" s="218" t="s">
        <v>325</v>
      </c>
      <c r="C70" s="200" t="s">
        <v>258</v>
      </c>
      <c r="D70" s="201" t="s">
        <v>440</v>
      </c>
      <c r="E70" s="201">
        <f>1*1</f>
        <v>1</v>
      </c>
      <c r="F70" s="202">
        <v>1.1000000000000001</v>
      </c>
      <c r="G70" s="202">
        <f t="shared" si="5"/>
        <v>1.1000000000000001</v>
      </c>
      <c r="H70" s="203" t="s">
        <v>126</v>
      </c>
      <c r="I70" s="204"/>
      <c r="J70" s="205"/>
      <c r="AN70" s="131">
        <v>3</v>
      </c>
    </row>
    <row r="71" spans="1:40" s="131" customFormat="1" outlineLevel="1" x14ac:dyDescent="0.2">
      <c r="A71" s="195" t="s">
        <v>213</v>
      </c>
      <c r="B71" s="218" t="s">
        <v>326</v>
      </c>
      <c r="C71" s="200" t="s">
        <v>263</v>
      </c>
      <c r="D71" s="201" t="s">
        <v>264</v>
      </c>
      <c r="E71" s="201">
        <f>1*1</f>
        <v>1</v>
      </c>
      <c r="F71" s="202">
        <v>0.53</v>
      </c>
      <c r="G71" s="202">
        <f t="shared" si="5"/>
        <v>0.53</v>
      </c>
      <c r="H71" s="203" t="s">
        <v>126</v>
      </c>
      <c r="I71" s="204"/>
      <c r="J71" s="205"/>
      <c r="AN71" s="131">
        <v>3</v>
      </c>
    </row>
    <row r="72" spans="1:40" s="131" customFormat="1" outlineLevel="1" x14ac:dyDescent="0.2">
      <c r="A72" s="195" t="s">
        <v>213</v>
      </c>
      <c r="B72" s="218" t="s">
        <v>327</v>
      </c>
      <c r="C72" s="200" t="s">
        <v>261</v>
      </c>
      <c r="D72" s="201" t="s">
        <v>443</v>
      </c>
      <c r="E72" s="201">
        <f>1*1</f>
        <v>1</v>
      </c>
      <c r="F72" s="202">
        <v>0.25</v>
      </c>
      <c r="G72" s="202">
        <f t="shared" si="5"/>
        <v>0.25</v>
      </c>
      <c r="H72" s="203" t="s">
        <v>126</v>
      </c>
      <c r="I72" s="204"/>
      <c r="J72" s="205"/>
      <c r="AN72" s="131">
        <v>3</v>
      </c>
    </row>
    <row r="73" spans="1:40" s="131" customFormat="1" outlineLevel="1" x14ac:dyDescent="0.2">
      <c r="A73" s="195" t="s">
        <v>213</v>
      </c>
      <c r="B73" s="218" t="s">
        <v>328</v>
      </c>
      <c r="C73" s="200" t="s">
        <v>404</v>
      </c>
      <c r="D73" s="201" t="s">
        <v>405</v>
      </c>
      <c r="E73" s="201">
        <f>1*1</f>
        <v>1</v>
      </c>
      <c r="F73" s="202">
        <v>0.63</v>
      </c>
      <c r="G73" s="202">
        <f t="shared" si="5"/>
        <v>0.63</v>
      </c>
      <c r="H73" s="203" t="s">
        <v>126</v>
      </c>
      <c r="I73" s="204"/>
      <c r="J73" s="205"/>
      <c r="AN73" s="131">
        <v>3</v>
      </c>
    </row>
    <row r="74" spans="1:40" s="131" customFormat="1" x14ac:dyDescent="0.2">
      <c r="A74" s="195" t="s">
        <v>237</v>
      </c>
      <c r="B74" s="218" t="s">
        <v>89</v>
      </c>
      <c r="C74" s="196" t="s">
        <v>445</v>
      </c>
      <c r="D74" s="197" t="s">
        <v>122</v>
      </c>
      <c r="E74" s="197">
        <v>1</v>
      </c>
      <c r="F74" s="207"/>
      <c r="G74" s="207" t="str">
        <f>""</f>
        <v/>
      </c>
      <c r="H74" s="195"/>
      <c r="I74" s="198"/>
      <c r="J74" s="199"/>
      <c r="AN74" s="131">
        <v>2</v>
      </c>
    </row>
    <row r="75" spans="1:40" s="131" customFormat="1" outlineLevel="1" x14ac:dyDescent="0.2">
      <c r="A75" s="195" t="s">
        <v>213</v>
      </c>
      <c r="B75" s="218" t="s">
        <v>329</v>
      </c>
      <c r="C75" s="200" t="s">
        <v>406</v>
      </c>
      <c r="D75" s="201" t="s">
        <v>407</v>
      </c>
      <c r="E75" s="201">
        <f>1*1</f>
        <v>1</v>
      </c>
      <c r="F75" s="202">
        <v>1.1299999999999999</v>
      </c>
      <c r="G75" s="202">
        <f t="shared" ref="G75:G80" si="6">F75*E75</f>
        <v>1.1299999999999999</v>
      </c>
      <c r="H75" s="203" t="s">
        <v>126</v>
      </c>
      <c r="I75" s="204"/>
      <c r="J75" s="205"/>
      <c r="AN75" s="131">
        <v>3</v>
      </c>
    </row>
    <row r="76" spans="1:40" s="131" customFormat="1" outlineLevel="1" x14ac:dyDescent="0.2">
      <c r="A76" s="195" t="s">
        <v>213</v>
      </c>
      <c r="B76" s="218" t="s">
        <v>330</v>
      </c>
      <c r="C76" s="200" t="s">
        <v>265</v>
      </c>
      <c r="D76" s="201" t="s">
        <v>266</v>
      </c>
      <c r="E76" s="201">
        <f>2*1</f>
        <v>2</v>
      </c>
      <c r="F76" s="202">
        <v>0.01</v>
      </c>
      <c r="G76" s="202">
        <f t="shared" si="6"/>
        <v>0.02</v>
      </c>
      <c r="H76" s="203" t="s">
        <v>126</v>
      </c>
      <c r="I76" s="204"/>
      <c r="J76" s="205"/>
      <c r="AN76" s="131">
        <v>3</v>
      </c>
    </row>
    <row r="77" spans="1:40" s="131" customFormat="1" x14ac:dyDescent="0.2">
      <c r="A77" s="195" t="s">
        <v>213</v>
      </c>
      <c r="B77" s="218" t="s">
        <v>90</v>
      </c>
      <c r="C77" s="208" t="s">
        <v>446</v>
      </c>
      <c r="D77" s="206" t="s">
        <v>447</v>
      </c>
      <c r="E77" s="206">
        <v>1</v>
      </c>
      <c r="F77" s="209">
        <v>0.65</v>
      </c>
      <c r="G77" s="209">
        <f t="shared" si="6"/>
        <v>0.65</v>
      </c>
      <c r="H77" s="210" t="s">
        <v>126</v>
      </c>
      <c r="I77" s="211"/>
      <c r="J77" s="212"/>
      <c r="AN77" s="131">
        <v>2</v>
      </c>
    </row>
    <row r="78" spans="1:40" s="131" customFormat="1" x14ac:dyDescent="0.2">
      <c r="A78" s="195" t="s">
        <v>213</v>
      </c>
      <c r="B78" s="218" t="s">
        <v>90</v>
      </c>
      <c r="C78" s="208" t="s">
        <v>940</v>
      </c>
      <c r="D78" s="206" t="s">
        <v>447</v>
      </c>
      <c r="E78" s="206">
        <v>1</v>
      </c>
      <c r="F78" s="209">
        <v>0.65</v>
      </c>
      <c r="G78" s="209">
        <f t="shared" si="6"/>
        <v>0.65</v>
      </c>
      <c r="H78" s="210">
        <v>1.4300999999999999</v>
      </c>
      <c r="I78" s="211" t="s">
        <v>864</v>
      </c>
      <c r="J78" s="212"/>
      <c r="AN78" s="131">
        <v>2</v>
      </c>
    </row>
    <row r="79" spans="1:40" s="131" customFormat="1" x14ac:dyDescent="0.2">
      <c r="A79" s="195" t="s">
        <v>213</v>
      </c>
      <c r="B79" s="218" t="s">
        <v>91</v>
      </c>
      <c r="C79" s="208" t="s">
        <v>448</v>
      </c>
      <c r="D79" s="206" t="s">
        <v>449</v>
      </c>
      <c r="E79" s="206">
        <v>1</v>
      </c>
      <c r="F79" s="209">
        <v>0.83</v>
      </c>
      <c r="G79" s="209">
        <f t="shared" si="6"/>
        <v>0.83</v>
      </c>
      <c r="H79" s="210" t="s">
        <v>126</v>
      </c>
      <c r="I79" s="211"/>
      <c r="J79" s="212"/>
      <c r="AN79" s="131">
        <v>2</v>
      </c>
    </row>
    <row r="80" spans="1:40" s="131" customFormat="1" x14ac:dyDescent="0.2">
      <c r="A80" s="195" t="s">
        <v>213</v>
      </c>
      <c r="B80" s="218" t="s">
        <v>91</v>
      </c>
      <c r="C80" s="208" t="s">
        <v>939</v>
      </c>
      <c r="D80" s="206" t="s">
        <v>449</v>
      </c>
      <c r="E80" s="206">
        <v>1</v>
      </c>
      <c r="F80" s="209">
        <v>0.83</v>
      </c>
      <c r="G80" s="209">
        <f t="shared" si="6"/>
        <v>0.83</v>
      </c>
      <c r="H80" s="210">
        <v>1.4300999999999999</v>
      </c>
      <c r="I80" s="211" t="s">
        <v>864</v>
      </c>
      <c r="J80" s="212"/>
      <c r="AN80" s="131">
        <v>2</v>
      </c>
    </row>
    <row r="81" spans="1:40" s="131" customFormat="1" x14ac:dyDescent="0.2">
      <c r="A81" s="195" t="s">
        <v>237</v>
      </c>
      <c r="B81" s="218" t="s">
        <v>92</v>
      </c>
      <c r="C81" s="196" t="s">
        <v>450</v>
      </c>
      <c r="D81" s="197" t="s">
        <v>123</v>
      </c>
      <c r="E81" s="197">
        <v>1</v>
      </c>
      <c r="F81" s="207"/>
      <c r="G81" s="207" t="str">
        <f>""</f>
        <v/>
      </c>
      <c r="H81" s="195"/>
      <c r="I81" s="198" t="s">
        <v>844</v>
      </c>
      <c r="J81" s="199"/>
      <c r="AN81" s="131">
        <v>2</v>
      </c>
    </row>
    <row r="82" spans="1:40" s="131" customFormat="1" outlineLevel="1" x14ac:dyDescent="0.2">
      <c r="A82" s="195" t="s">
        <v>213</v>
      </c>
      <c r="B82" s="218" t="s">
        <v>331</v>
      </c>
      <c r="C82" s="200" t="s">
        <v>451</v>
      </c>
      <c r="D82" s="201" t="s">
        <v>267</v>
      </c>
      <c r="E82" s="201">
        <f>2*1</f>
        <v>2</v>
      </c>
      <c r="F82" s="202">
        <v>0.41306744000000001</v>
      </c>
      <c r="G82" s="202">
        <f>F82*E82</f>
        <v>0.82613488000000002</v>
      </c>
      <c r="H82" s="203" t="s">
        <v>126</v>
      </c>
      <c r="I82" s="198" t="s">
        <v>844</v>
      </c>
      <c r="J82" s="205"/>
      <c r="AN82" s="131">
        <v>3</v>
      </c>
    </row>
    <row r="83" spans="1:40" s="131" customFormat="1" outlineLevel="1" x14ac:dyDescent="0.2">
      <c r="A83" s="195" t="s">
        <v>213</v>
      </c>
      <c r="B83" s="218" t="s">
        <v>332</v>
      </c>
      <c r="C83" s="200" t="s">
        <v>452</v>
      </c>
      <c r="D83" s="201" t="s">
        <v>401</v>
      </c>
      <c r="E83" s="201">
        <f>2*1</f>
        <v>2</v>
      </c>
      <c r="F83" s="202">
        <v>1.01467051</v>
      </c>
      <c r="G83" s="202">
        <f>F83*E83</f>
        <v>2.0293410199999999</v>
      </c>
      <c r="H83" s="203" t="s">
        <v>126</v>
      </c>
      <c r="I83" s="198" t="s">
        <v>844</v>
      </c>
      <c r="J83" s="205"/>
      <c r="AN83" s="131">
        <v>3</v>
      </c>
    </row>
    <row r="84" spans="1:40" s="131" customFormat="1" outlineLevel="1" x14ac:dyDescent="0.2">
      <c r="A84" s="195" t="s">
        <v>213</v>
      </c>
      <c r="B84" s="218" t="s">
        <v>333</v>
      </c>
      <c r="C84" s="200" t="s">
        <v>453</v>
      </c>
      <c r="D84" s="201" t="s">
        <v>268</v>
      </c>
      <c r="E84" s="201">
        <f>1*1</f>
        <v>1</v>
      </c>
      <c r="F84" s="202">
        <v>4.8497940000000003E-2</v>
      </c>
      <c r="G84" s="202">
        <f>F84*E84</f>
        <v>4.8497940000000003E-2</v>
      </c>
      <c r="H84" s="203" t="s">
        <v>126</v>
      </c>
      <c r="I84" s="198" t="s">
        <v>844</v>
      </c>
      <c r="J84" s="205"/>
      <c r="AN84" s="131">
        <v>3</v>
      </c>
    </row>
    <row r="85" spans="1:40" s="131" customFormat="1" x14ac:dyDescent="0.2">
      <c r="A85" s="195" t="s">
        <v>237</v>
      </c>
      <c r="B85" s="222" t="s">
        <v>92</v>
      </c>
      <c r="C85" s="196" t="s">
        <v>855</v>
      </c>
      <c r="D85" s="197" t="s">
        <v>123</v>
      </c>
      <c r="E85" s="197">
        <v>1</v>
      </c>
      <c r="F85" s="197"/>
      <c r="G85" s="197"/>
      <c r="H85" s="195"/>
      <c r="I85" s="198" t="s">
        <v>859</v>
      </c>
      <c r="J85" s="199"/>
      <c r="AN85" s="131">
        <v>2</v>
      </c>
    </row>
    <row r="86" spans="1:40" s="131" customFormat="1" x14ac:dyDescent="0.2">
      <c r="A86" s="195" t="s">
        <v>213</v>
      </c>
      <c r="B86" s="222" t="s">
        <v>331</v>
      </c>
      <c r="C86" s="200" t="s">
        <v>856</v>
      </c>
      <c r="D86" s="201" t="s">
        <v>267</v>
      </c>
      <c r="E86" s="201">
        <v>2</v>
      </c>
      <c r="F86" s="202">
        <v>0.42200146999999999</v>
      </c>
      <c r="G86" s="202">
        <f>F86*E86</f>
        <v>0.84400293999999998</v>
      </c>
      <c r="H86" s="203">
        <v>1.4300999999999999</v>
      </c>
      <c r="I86" s="198" t="s">
        <v>859</v>
      </c>
      <c r="J86" s="205"/>
      <c r="AN86" s="131">
        <v>3</v>
      </c>
    </row>
    <row r="87" spans="1:40" s="131" customFormat="1" x14ac:dyDescent="0.2">
      <c r="A87" s="195" t="s">
        <v>213</v>
      </c>
      <c r="B87" s="222" t="s">
        <v>332</v>
      </c>
      <c r="C87" s="200" t="s">
        <v>857</v>
      </c>
      <c r="D87" s="201" t="s">
        <v>401</v>
      </c>
      <c r="E87" s="201">
        <v>2</v>
      </c>
      <c r="F87" s="202">
        <v>1.0377167300000001</v>
      </c>
      <c r="G87" s="202">
        <f>F87*E87</f>
        <v>2.0754334600000002</v>
      </c>
      <c r="H87" s="203">
        <v>1.4300999999999999</v>
      </c>
      <c r="I87" s="198" t="s">
        <v>859</v>
      </c>
      <c r="J87" s="205"/>
      <c r="AN87" s="131">
        <v>3</v>
      </c>
    </row>
    <row r="88" spans="1:40" s="131" customFormat="1" x14ac:dyDescent="0.2">
      <c r="A88" s="195" t="s">
        <v>213</v>
      </c>
      <c r="B88" s="222" t="s">
        <v>333</v>
      </c>
      <c r="C88" s="200" t="s">
        <v>858</v>
      </c>
      <c r="D88" s="201" t="s">
        <v>268</v>
      </c>
      <c r="E88" s="201">
        <v>1</v>
      </c>
      <c r="F88" s="202">
        <v>4.9546880000000001E-2</v>
      </c>
      <c r="G88" s="202">
        <f>F88*E88</f>
        <v>4.9546880000000001E-2</v>
      </c>
      <c r="H88" s="203">
        <v>1.4300999999999999</v>
      </c>
      <c r="I88" s="198" t="s">
        <v>859</v>
      </c>
      <c r="J88" s="205"/>
      <c r="AN88" s="131">
        <v>3</v>
      </c>
    </row>
    <row r="89" spans="1:40" s="131" customFormat="1" x14ac:dyDescent="0.2">
      <c r="A89" s="195" t="s">
        <v>237</v>
      </c>
      <c r="B89" s="218" t="s">
        <v>93</v>
      </c>
      <c r="C89" s="196" t="s">
        <v>454</v>
      </c>
      <c r="D89" s="197" t="s">
        <v>124</v>
      </c>
      <c r="E89" s="197">
        <v>1</v>
      </c>
      <c r="F89" s="207"/>
      <c r="G89" s="207" t="str">
        <f>""</f>
        <v/>
      </c>
      <c r="H89" s="195"/>
      <c r="I89" s="198" t="s">
        <v>949</v>
      </c>
      <c r="J89" s="199"/>
      <c r="AN89" s="131">
        <v>2</v>
      </c>
    </row>
    <row r="90" spans="1:40" s="131" customFormat="1" outlineLevel="1" x14ac:dyDescent="0.2">
      <c r="A90" s="195" t="s">
        <v>213</v>
      </c>
      <c r="B90" s="218" t="s">
        <v>225</v>
      </c>
      <c r="C90" s="200" t="s">
        <v>395</v>
      </c>
      <c r="D90" s="201" t="s">
        <v>216</v>
      </c>
      <c r="E90" s="201">
        <f>4*1</f>
        <v>4</v>
      </c>
      <c r="F90" s="202">
        <v>0.65301136999999998</v>
      </c>
      <c r="G90" s="202">
        <f>F90*E90</f>
        <v>2.6120454799999999</v>
      </c>
      <c r="H90" s="203">
        <v>1.4300999999999999</v>
      </c>
      <c r="I90" s="198" t="s">
        <v>949</v>
      </c>
      <c r="J90" s="205"/>
      <c r="AN90" s="131">
        <v>3</v>
      </c>
    </row>
    <row r="91" spans="1:40" s="131" customFormat="1" outlineLevel="1" x14ac:dyDescent="0.2">
      <c r="A91" s="195" t="s">
        <v>237</v>
      </c>
      <c r="B91" s="218" t="s">
        <v>226</v>
      </c>
      <c r="C91" s="196" t="s">
        <v>455</v>
      </c>
      <c r="D91" s="197" t="s">
        <v>396</v>
      </c>
      <c r="E91" s="197">
        <f>1*1</f>
        <v>1</v>
      </c>
      <c r="F91" s="207"/>
      <c r="G91" s="207" t="str">
        <f>""</f>
        <v/>
      </c>
      <c r="H91" s="195"/>
      <c r="I91" s="198" t="s">
        <v>949</v>
      </c>
      <c r="J91" s="199"/>
      <c r="AN91" s="131">
        <v>3</v>
      </c>
    </row>
    <row r="92" spans="1:40" s="131" customFormat="1" outlineLevel="2" x14ac:dyDescent="0.2">
      <c r="A92" s="195" t="s">
        <v>213</v>
      </c>
      <c r="B92" s="218" t="s">
        <v>290</v>
      </c>
      <c r="C92" s="200" t="s">
        <v>456</v>
      </c>
      <c r="D92" s="201" t="s">
        <v>269</v>
      </c>
      <c r="E92" s="201">
        <f>1*1</f>
        <v>1</v>
      </c>
      <c r="F92" s="202">
        <v>1.0939003899999999</v>
      </c>
      <c r="G92" s="202">
        <f>F92*E92</f>
        <v>1.0939003899999999</v>
      </c>
      <c r="H92" s="203" t="s">
        <v>126</v>
      </c>
      <c r="I92" s="198" t="s">
        <v>949</v>
      </c>
      <c r="J92" s="205"/>
      <c r="AN92" s="131">
        <v>4</v>
      </c>
    </row>
    <row r="93" spans="1:40" s="131" customFormat="1" outlineLevel="2" x14ac:dyDescent="0.2">
      <c r="A93" s="195" t="s">
        <v>213</v>
      </c>
      <c r="B93" s="218" t="s">
        <v>291</v>
      </c>
      <c r="C93" s="200" t="s">
        <v>457</v>
      </c>
      <c r="D93" s="201" t="s">
        <v>458</v>
      </c>
      <c r="E93" s="201">
        <f>4*1</f>
        <v>4</v>
      </c>
      <c r="F93" s="202">
        <v>4.0194100000000002E-3</v>
      </c>
      <c r="G93" s="202">
        <f>F93*E93</f>
        <v>1.6077640000000001E-2</v>
      </c>
      <c r="H93" s="203" t="s">
        <v>126</v>
      </c>
      <c r="I93" s="198" t="s">
        <v>949</v>
      </c>
      <c r="J93" s="205"/>
      <c r="AN93" s="131">
        <v>4</v>
      </c>
    </row>
    <row r="94" spans="1:40" s="131" customFormat="1" outlineLevel="2" x14ac:dyDescent="0.2">
      <c r="A94" s="195" t="s">
        <v>213</v>
      </c>
      <c r="B94" s="218" t="s">
        <v>292</v>
      </c>
      <c r="C94" s="200" t="s">
        <v>459</v>
      </c>
      <c r="D94" s="201" t="s">
        <v>270</v>
      </c>
      <c r="E94" s="201">
        <f>1*1</f>
        <v>1</v>
      </c>
      <c r="F94" s="202">
        <v>2.593869E-2</v>
      </c>
      <c r="G94" s="202">
        <f>F94*E94</f>
        <v>2.593869E-2</v>
      </c>
      <c r="H94" s="203" t="s">
        <v>126</v>
      </c>
      <c r="I94" s="198" t="s">
        <v>949</v>
      </c>
      <c r="J94" s="205"/>
      <c r="AN94" s="131">
        <v>4</v>
      </c>
    </row>
    <row r="95" spans="1:40" s="131" customFormat="1" x14ac:dyDescent="0.2">
      <c r="A95" s="195" t="s">
        <v>237</v>
      </c>
      <c r="B95" s="222" t="s">
        <v>226</v>
      </c>
      <c r="C95" s="196" t="s">
        <v>860</v>
      </c>
      <c r="D95" s="197" t="s">
        <v>396</v>
      </c>
      <c r="E95" s="197">
        <v>1</v>
      </c>
      <c r="F95" s="197"/>
      <c r="G95" s="197"/>
      <c r="H95" s="195"/>
      <c r="I95" s="198" t="s">
        <v>950</v>
      </c>
      <c r="J95" s="199"/>
      <c r="AN95" s="131">
        <v>3</v>
      </c>
    </row>
    <row r="96" spans="1:40" s="131" customFormat="1" x14ac:dyDescent="0.2">
      <c r="A96" s="195" t="s">
        <v>213</v>
      </c>
      <c r="B96" s="222" t="s">
        <v>290</v>
      </c>
      <c r="C96" s="200" t="s">
        <v>861</v>
      </c>
      <c r="D96" s="201" t="s">
        <v>269</v>
      </c>
      <c r="E96" s="201">
        <v>1</v>
      </c>
      <c r="F96" s="202">
        <v>1.1260486999999999</v>
      </c>
      <c r="G96" s="202">
        <f>F96*E96</f>
        <v>1.1260486999999999</v>
      </c>
      <c r="H96" s="203">
        <v>1.4300999999999999</v>
      </c>
      <c r="I96" s="198" t="s">
        <v>950</v>
      </c>
      <c r="J96" s="205"/>
      <c r="AN96" s="131">
        <v>4</v>
      </c>
    </row>
    <row r="97" spans="1:40" s="131" customFormat="1" x14ac:dyDescent="0.2">
      <c r="A97" s="195" t="s">
        <v>213</v>
      </c>
      <c r="B97" s="222" t="s">
        <v>291</v>
      </c>
      <c r="C97" s="200" t="s">
        <v>862</v>
      </c>
      <c r="D97" s="201" t="s">
        <v>458</v>
      </c>
      <c r="E97" s="201">
        <v>4</v>
      </c>
      <c r="F97" s="202">
        <v>4.2167100000000002E-3</v>
      </c>
      <c r="G97" s="202">
        <f>F97*E97</f>
        <v>1.6866840000000001E-2</v>
      </c>
      <c r="H97" s="203">
        <v>1.4300999999999999</v>
      </c>
      <c r="I97" s="198" t="s">
        <v>950</v>
      </c>
      <c r="J97" s="205"/>
      <c r="AN97" s="131">
        <v>4</v>
      </c>
    </row>
    <row r="98" spans="1:40" s="131" customFormat="1" x14ac:dyDescent="0.2">
      <c r="A98" s="195" t="s">
        <v>213</v>
      </c>
      <c r="B98" s="222" t="s">
        <v>292</v>
      </c>
      <c r="C98" s="200" t="s">
        <v>863</v>
      </c>
      <c r="D98" s="201" t="s">
        <v>270</v>
      </c>
      <c r="E98" s="201">
        <v>1</v>
      </c>
      <c r="F98" s="202">
        <v>2.6720440000000002E-2</v>
      </c>
      <c r="G98" s="202">
        <f>F98*E98</f>
        <v>2.6720440000000002E-2</v>
      </c>
      <c r="H98" s="203">
        <v>1.4300999999999999</v>
      </c>
      <c r="I98" s="198" t="s">
        <v>950</v>
      </c>
      <c r="J98" s="205"/>
      <c r="AN98" s="131">
        <v>4</v>
      </c>
    </row>
    <row r="99" spans="1:40" s="131" customFormat="1" outlineLevel="1" x14ac:dyDescent="0.2">
      <c r="A99" s="195" t="s">
        <v>237</v>
      </c>
      <c r="B99" s="218" t="s">
        <v>227</v>
      </c>
      <c r="C99" s="196" t="s">
        <v>460</v>
      </c>
      <c r="D99" s="197" t="s">
        <v>217</v>
      </c>
      <c r="E99" s="197">
        <f>1*1</f>
        <v>1</v>
      </c>
      <c r="F99" s="207"/>
      <c r="G99" s="207" t="str">
        <f>""</f>
        <v/>
      </c>
      <c r="H99" s="195"/>
      <c r="I99" s="198" t="s">
        <v>949</v>
      </c>
      <c r="J99" s="199"/>
      <c r="AN99" s="131">
        <v>3</v>
      </c>
    </row>
    <row r="100" spans="1:40" s="131" customFormat="1" outlineLevel="2" x14ac:dyDescent="0.2">
      <c r="A100" s="195" t="s">
        <v>213</v>
      </c>
      <c r="B100" s="218" t="s">
        <v>293</v>
      </c>
      <c r="C100" s="200" t="s">
        <v>461</v>
      </c>
      <c r="D100" s="201" t="s">
        <v>271</v>
      </c>
      <c r="E100" s="201">
        <f>1*1</f>
        <v>1</v>
      </c>
      <c r="F100" s="202">
        <v>0.14190992999999999</v>
      </c>
      <c r="G100" s="202">
        <f t="shared" ref="G100:G123" si="7">F100*E100</f>
        <v>0.14190992999999999</v>
      </c>
      <c r="H100" s="203" t="s">
        <v>126</v>
      </c>
      <c r="I100" s="198" t="s">
        <v>949</v>
      </c>
      <c r="J100" s="205"/>
      <c r="AN100" s="131">
        <v>4</v>
      </c>
    </row>
    <row r="101" spans="1:40" s="131" customFormat="1" outlineLevel="2" x14ac:dyDescent="0.2">
      <c r="A101" s="195" t="s">
        <v>213</v>
      </c>
      <c r="B101" s="218" t="s">
        <v>294</v>
      </c>
      <c r="C101" s="200" t="s">
        <v>462</v>
      </c>
      <c r="D101" s="201" t="s">
        <v>271</v>
      </c>
      <c r="E101" s="201">
        <f>1*1</f>
        <v>1</v>
      </c>
      <c r="F101" s="202">
        <v>0.14190992999999999</v>
      </c>
      <c r="G101" s="202">
        <f t="shared" si="7"/>
        <v>0.14190992999999999</v>
      </c>
      <c r="H101" s="203" t="s">
        <v>126</v>
      </c>
      <c r="I101" s="198" t="s">
        <v>949</v>
      </c>
      <c r="J101" s="205"/>
      <c r="AN101" s="131">
        <v>4</v>
      </c>
    </row>
    <row r="102" spans="1:40" s="131" customFormat="1" outlineLevel="2" x14ac:dyDescent="0.2">
      <c r="A102" s="195" t="s">
        <v>213</v>
      </c>
      <c r="B102" s="218" t="s">
        <v>295</v>
      </c>
      <c r="C102" s="200" t="s">
        <v>456</v>
      </c>
      <c r="D102" s="201" t="s">
        <v>269</v>
      </c>
      <c r="E102" s="201">
        <f>1*1</f>
        <v>1</v>
      </c>
      <c r="F102" s="202">
        <v>1.0939003899999999</v>
      </c>
      <c r="G102" s="202">
        <f t="shared" si="7"/>
        <v>1.0939003899999999</v>
      </c>
      <c r="H102" s="203" t="s">
        <v>126</v>
      </c>
      <c r="I102" s="198" t="s">
        <v>949</v>
      </c>
      <c r="J102" s="205"/>
      <c r="AN102" s="131">
        <v>4</v>
      </c>
    </row>
    <row r="103" spans="1:40" s="131" customFormat="1" outlineLevel="2" x14ac:dyDescent="0.2">
      <c r="A103" s="195" t="s">
        <v>213</v>
      </c>
      <c r="B103" s="218" t="s">
        <v>296</v>
      </c>
      <c r="C103" s="200" t="s">
        <v>457</v>
      </c>
      <c r="D103" s="201" t="s">
        <v>458</v>
      </c>
      <c r="E103" s="201">
        <f>4*1</f>
        <v>4</v>
      </c>
      <c r="F103" s="202">
        <v>4.0194100000000002E-3</v>
      </c>
      <c r="G103" s="202">
        <f t="shared" si="7"/>
        <v>1.6077640000000001E-2</v>
      </c>
      <c r="H103" s="203" t="s">
        <v>126</v>
      </c>
      <c r="I103" s="198" t="s">
        <v>949</v>
      </c>
      <c r="J103" s="205"/>
      <c r="AN103" s="131">
        <v>4</v>
      </c>
    </row>
    <row r="104" spans="1:40" s="131" customFormat="1" outlineLevel="2" x14ac:dyDescent="0.2">
      <c r="A104" s="195" t="s">
        <v>213</v>
      </c>
      <c r="B104" s="218" t="s">
        <v>297</v>
      </c>
      <c r="C104" s="200" t="s">
        <v>459</v>
      </c>
      <c r="D104" s="201" t="s">
        <v>270</v>
      </c>
      <c r="E104" s="201">
        <f>1*1</f>
        <v>1</v>
      </c>
      <c r="F104" s="202">
        <v>2.593869E-2</v>
      </c>
      <c r="G104" s="202">
        <f t="shared" si="7"/>
        <v>2.593869E-2</v>
      </c>
      <c r="H104" s="203" t="s">
        <v>126</v>
      </c>
      <c r="I104" s="198" t="s">
        <v>949</v>
      </c>
      <c r="J104" s="205"/>
      <c r="AN104" s="131">
        <v>4</v>
      </c>
    </row>
    <row r="105" spans="1:40" s="131" customFormat="1" x14ac:dyDescent="0.2">
      <c r="A105" s="195" t="s">
        <v>237</v>
      </c>
      <c r="B105" s="222" t="s">
        <v>227</v>
      </c>
      <c r="C105" s="196" t="s">
        <v>865</v>
      </c>
      <c r="D105" s="197" t="s">
        <v>217</v>
      </c>
      <c r="E105" s="197">
        <v>1</v>
      </c>
      <c r="F105" s="197"/>
      <c r="G105" s="197"/>
      <c r="H105" s="195"/>
      <c r="I105" s="198" t="s">
        <v>950</v>
      </c>
      <c r="J105" s="199"/>
      <c r="AN105" s="131">
        <v>3</v>
      </c>
    </row>
    <row r="106" spans="1:40" s="131" customFormat="1" x14ac:dyDescent="0.2">
      <c r="A106" s="195" t="s">
        <v>213</v>
      </c>
      <c r="B106" s="222" t="s">
        <v>293</v>
      </c>
      <c r="C106" s="200" t="s">
        <v>866</v>
      </c>
      <c r="D106" s="201" t="s">
        <v>271</v>
      </c>
      <c r="E106" s="201">
        <v>1</v>
      </c>
      <c r="F106" s="202">
        <v>0.14497922999999999</v>
      </c>
      <c r="G106" s="202">
        <f>F106*E106</f>
        <v>0.14497922999999999</v>
      </c>
      <c r="H106" s="203">
        <v>1.4300999999999999</v>
      </c>
      <c r="I106" s="198" t="s">
        <v>950</v>
      </c>
      <c r="J106" s="205"/>
      <c r="AN106" s="131">
        <v>4</v>
      </c>
    </row>
    <row r="107" spans="1:40" s="131" customFormat="1" x14ac:dyDescent="0.2">
      <c r="A107" s="195" t="s">
        <v>213</v>
      </c>
      <c r="B107" s="222" t="s">
        <v>294</v>
      </c>
      <c r="C107" s="200" t="s">
        <v>867</v>
      </c>
      <c r="D107" s="201" t="s">
        <v>271</v>
      </c>
      <c r="E107" s="201">
        <v>1</v>
      </c>
      <c r="F107" s="202">
        <v>0.14497922999999999</v>
      </c>
      <c r="G107" s="202">
        <f>F107*E107</f>
        <v>0.14497922999999999</v>
      </c>
      <c r="H107" s="203">
        <v>1.4300999999999999</v>
      </c>
      <c r="I107" s="198" t="s">
        <v>950</v>
      </c>
      <c r="J107" s="205"/>
      <c r="AN107" s="131">
        <v>4</v>
      </c>
    </row>
    <row r="108" spans="1:40" s="131" customFormat="1" x14ac:dyDescent="0.2">
      <c r="A108" s="195" t="s">
        <v>213</v>
      </c>
      <c r="B108" s="222" t="s">
        <v>295</v>
      </c>
      <c r="C108" s="200" t="s">
        <v>861</v>
      </c>
      <c r="D108" s="201" t="s">
        <v>269</v>
      </c>
      <c r="E108" s="201">
        <v>1</v>
      </c>
      <c r="F108" s="202">
        <v>1.1260486999999999</v>
      </c>
      <c r="G108" s="202">
        <f>F108*E108</f>
        <v>1.1260486999999999</v>
      </c>
      <c r="H108" s="203">
        <v>1.4300999999999999</v>
      </c>
      <c r="I108" s="198" t="s">
        <v>950</v>
      </c>
      <c r="J108" s="205"/>
      <c r="AN108" s="131">
        <v>4</v>
      </c>
    </row>
    <row r="109" spans="1:40" s="131" customFormat="1" x14ac:dyDescent="0.2">
      <c r="A109" s="195" t="s">
        <v>213</v>
      </c>
      <c r="B109" s="222" t="s">
        <v>296</v>
      </c>
      <c r="C109" s="200" t="s">
        <v>862</v>
      </c>
      <c r="D109" s="201" t="s">
        <v>458</v>
      </c>
      <c r="E109" s="201">
        <v>4</v>
      </c>
      <c r="F109" s="202">
        <v>4.2167100000000002E-3</v>
      </c>
      <c r="G109" s="202">
        <f>F109*E109</f>
        <v>1.6866840000000001E-2</v>
      </c>
      <c r="H109" s="203">
        <v>1.4300999999999999</v>
      </c>
      <c r="I109" s="198" t="s">
        <v>950</v>
      </c>
      <c r="J109" s="205"/>
      <c r="AN109" s="131">
        <v>4</v>
      </c>
    </row>
    <row r="110" spans="1:40" s="131" customFormat="1" x14ac:dyDescent="0.2">
      <c r="A110" s="195" t="s">
        <v>213</v>
      </c>
      <c r="B110" s="222" t="s">
        <v>297</v>
      </c>
      <c r="C110" s="200" t="s">
        <v>863</v>
      </c>
      <c r="D110" s="201" t="s">
        <v>270</v>
      </c>
      <c r="E110" s="201">
        <v>1</v>
      </c>
      <c r="F110" s="202">
        <v>2.6720440000000002E-2</v>
      </c>
      <c r="G110" s="202">
        <f>F110*E110</f>
        <v>2.6720440000000002E-2</v>
      </c>
      <c r="H110" s="203">
        <v>1.4300999999999999</v>
      </c>
      <c r="I110" s="198" t="s">
        <v>950</v>
      </c>
      <c r="J110" s="205"/>
      <c r="AN110" s="131">
        <v>4</v>
      </c>
    </row>
    <row r="111" spans="1:40" s="131" customFormat="1" ht="25.5" outlineLevel="1" x14ac:dyDescent="0.2">
      <c r="A111" s="195" t="s">
        <v>213</v>
      </c>
      <c r="B111" s="218" t="s">
        <v>228</v>
      </c>
      <c r="C111" s="208" t="s">
        <v>397</v>
      </c>
      <c r="D111" s="206" t="s">
        <v>218</v>
      </c>
      <c r="E111" s="206">
        <f>4*1</f>
        <v>4</v>
      </c>
      <c r="F111" s="209">
        <v>7.9297699999999992E-3</v>
      </c>
      <c r="G111" s="209">
        <f t="shared" si="7"/>
        <v>3.1719079999999997E-2</v>
      </c>
      <c r="H111" s="210" t="s">
        <v>219</v>
      </c>
      <c r="I111" s="198" t="s">
        <v>949</v>
      </c>
      <c r="J111" s="212"/>
      <c r="AN111" s="131">
        <v>3</v>
      </c>
    </row>
    <row r="112" spans="1:40" s="131" customFormat="1" outlineLevel="1" x14ac:dyDescent="0.2">
      <c r="A112" s="195" t="s">
        <v>162</v>
      </c>
      <c r="B112" s="218" t="s">
        <v>229</v>
      </c>
      <c r="C112" s="208" t="s">
        <v>463</v>
      </c>
      <c r="D112" s="206" t="s">
        <v>398</v>
      </c>
      <c r="E112" s="206">
        <f>1*1</f>
        <v>1</v>
      </c>
      <c r="F112" s="209">
        <v>0.81010654000000004</v>
      </c>
      <c r="G112" s="209">
        <f t="shared" si="7"/>
        <v>0.81010654000000004</v>
      </c>
      <c r="H112" s="210" t="s">
        <v>126</v>
      </c>
      <c r="I112" s="198" t="s">
        <v>949</v>
      </c>
      <c r="J112" s="212"/>
      <c r="AN112" s="131">
        <v>3</v>
      </c>
    </row>
    <row r="113" spans="1:40" s="131" customFormat="1" ht="25.5" outlineLevel="1" x14ac:dyDescent="0.2">
      <c r="A113" s="195" t="s">
        <v>162</v>
      </c>
      <c r="B113" s="218" t="s">
        <v>230</v>
      </c>
      <c r="C113" s="153" t="s">
        <v>464</v>
      </c>
      <c r="D113" s="154" t="s">
        <v>465</v>
      </c>
      <c r="E113" s="154">
        <f>4*1</f>
        <v>4</v>
      </c>
      <c r="F113" s="155">
        <v>1.13686994</v>
      </c>
      <c r="G113" s="155">
        <f t="shared" si="7"/>
        <v>4.5474797599999999</v>
      </c>
      <c r="H113" s="156"/>
      <c r="I113" s="198" t="s">
        <v>949</v>
      </c>
      <c r="J113" s="158" t="s">
        <v>967</v>
      </c>
      <c r="AN113" s="131">
        <v>3</v>
      </c>
    </row>
    <row r="114" spans="1:40" s="131" customFormat="1" outlineLevel="1" x14ac:dyDescent="0.2">
      <c r="A114" s="195" t="s">
        <v>162</v>
      </c>
      <c r="B114" s="218" t="s">
        <v>231</v>
      </c>
      <c r="C114" s="153" t="s">
        <v>223</v>
      </c>
      <c r="D114" s="154" t="s">
        <v>224</v>
      </c>
      <c r="E114" s="154">
        <f>4*1</f>
        <v>4</v>
      </c>
      <c r="F114" s="155">
        <v>3.7896599999999998E-3</v>
      </c>
      <c r="G114" s="155">
        <f t="shared" si="7"/>
        <v>1.5158639999999999E-2</v>
      </c>
      <c r="H114" s="156"/>
      <c r="I114" s="198" t="s">
        <v>949</v>
      </c>
      <c r="J114" s="158" t="s">
        <v>967</v>
      </c>
      <c r="AN114" s="131">
        <v>3</v>
      </c>
    </row>
    <row r="115" spans="1:40" s="131" customFormat="1" outlineLevel="1" x14ac:dyDescent="0.2">
      <c r="A115" s="195" t="s">
        <v>162</v>
      </c>
      <c r="B115" s="218" t="s">
        <v>232</v>
      </c>
      <c r="C115" s="153" t="s">
        <v>372</v>
      </c>
      <c r="D115" s="154" t="s">
        <v>400</v>
      </c>
      <c r="E115" s="154">
        <f>2*1</f>
        <v>2</v>
      </c>
      <c r="F115" s="155">
        <v>1.4078300000000001E-3</v>
      </c>
      <c r="G115" s="155">
        <f t="shared" si="7"/>
        <v>2.8156600000000002E-3</v>
      </c>
      <c r="H115" s="156"/>
      <c r="I115" s="198" t="s">
        <v>949</v>
      </c>
      <c r="J115" s="158" t="s">
        <v>964</v>
      </c>
      <c r="AN115" s="131">
        <v>3</v>
      </c>
    </row>
    <row r="116" spans="1:40" s="131" customFormat="1" outlineLevel="1" x14ac:dyDescent="0.2">
      <c r="A116" s="195" t="s">
        <v>162</v>
      </c>
      <c r="B116" s="218" t="s">
        <v>233</v>
      </c>
      <c r="C116" s="153" t="s">
        <v>220</v>
      </c>
      <c r="D116" s="154" t="s">
        <v>133</v>
      </c>
      <c r="E116" s="154">
        <f>4*1</f>
        <v>4</v>
      </c>
      <c r="F116" s="155">
        <v>1.2429800000000001E-3</v>
      </c>
      <c r="G116" s="155">
        <f t="shared" si="7"/>
        <v>4.9719200000000003E-3</v>
      </c>
      <c r="H116" s="156"/>
      <c r="I116" s="198" t="s">
        <v>949</v>
      </c>
      <c r="J116" s="158" t="s">
        <v>966</v>
      </c>
      <c r="AN116" s="131">
        <v>3</v>
      </c>
    </row>
    <row r="117" spans="1:40" s="131" customFormat="1" ht="25.5" outlineLevel="1" x14ac:dyDescent="0.2">
      <c r="A117" s="195" t="s">
        <v>162</v>
      </c>
      <c r="B117" s="218" t="s">
        <v>234</v>
      </c>
      <c r="C117" s="153" t="s">
        <v>182</v>
      </c>
      <c r="D117" s="154" t="s">
        <v>466</v>
      </c>
      <c r="E117" s="154">
        <f>4*1</f>
        <v>4</v>
      </c>
      <c r="F117" s="155">
        <v>2.1730369999999999E-2</v>
      </c>
      <c r="G117" s="155">
        <f t="shared" si="7"/>
        <v>8.6921479999999995E-2</v>
      </c>
      <c r="H117" s="156"/>
      <c r="I117" s="198" t="s">
        <v>949</v>
      </c>
      <c r="J117" s="158"/>
      <c r="AN117" s="131">
        <v>3</v>
      </c>
    </row>
    <row r="118" spans="1:40" s="131" customFormat="1" ht="25.5" outlineLevel="1" x14ac:dyDescent="0.2">
      <c r="A118" s="195" t="s">
        <v>162</v>
      </c>
      <c r="B118" s="218" t="s">
        <v>235</v>
      </c>
      <c r="C118" s="153" t="s">
        <v>182</v>
      </c>
      <c r="D118" s="154" t="s">
        <v>467</v>
      </c>
      <c r="E118" s="154">
        <f>2*1</f>
        <v>2</v>
      </c>
      <c r="F118" s="155">
        <v>1.3838680000000001E-2</v>
      </c>
      <c r="G118" s="155">
        <f t="shared" si="7"/>
        <v>2.7677360000000002E-2</v>
      </c>
      <c r="H118" s="156"/>
      <c r="I118" s="198" t="s">
        <v>949</v>
      </c>
      <c r="J118" s="158"/>
      <c r="AN118" s="131">
        <v>3</v>
      </c>
    </row>
    <row r="119" spans="1:40" s="131" customFormat="1" ht="25.5" outlineLevel="1" x14ac:dyDescent="0.2">
      <c r="A119" s="195" t="s">
        <v>162</v>
      </c>
      <c r="B119" s="218" t="s">
        <v>236</v>
      </c>
      <c r="C119" s="153" t="s">
        <v>149</v>
      </c>
      <c r="D119" s="154" t="s">
        <v>468</v>
      </c>
      <c r="E119" s="154">
        <f>6*1</f>
        <v>6</v>
      </c>
      <c r="F119" s="155">
        <v>9.0190200000000009E-3</v>
      </c>
      <c r="G119" s="155">
        <f t="shared" si="7"/>
        <v>5.4114120000000002E-2</v>
      </c>
      <c r="H119" s="156"/>
      <c r="I119" s="198" t="s">
        <v>949</v>
      </c>
      <c r="J119" s="158"/>
      <c r="AN119" s="131">
        <v>3</v>
      </c>
    </row>
    <row r="120" spans="1:40" s="131" customFormat="1" outlineLevel="1" x14ac:dyDescent="0.2">
      <c r="A120" s="195" t="s">
        <v>162</v>
      </c>
      <c r="B120" s="218" t="s">
        <v>399</v>
      </c>
      <c r="C120" s="153" t="s">
        <v>221</v>
      </c>
      <c r="D120" s="154" t="s">
        <v>222</v>
      </c>
      <c r="E120" s="154">
        <f>2*1</f>
        <v>2</v>
      </c>
      <c r="F120" s="155">
        <v>2.1575700000000001E-3</v>
      </c>
      <c r="G120" s="155">
        <f t="shared" si="7"/>
        <v>4.3151400000000003E-3</v>
      </c>
      <c r="H120" s="156"/>
      <c r="I120" s="198" t="s">
        <v>949</v>
      </c>
      <c r="J120" s="158"/>
      <c r="AN120" s="131">
        <v>3</v>
      </c>
    </row>
    <row r="121" spans="1:40" s="131" customFormat="1" x14ac:dyDescent="0.2">
      <c r="A121" s="195" t="s">
        <v>213</v>
      </c>
      <c r="B121" s="218" t="s">
        <v>94</v>
      </c>
      <c r="C121" s="208" t="s">
        <v>469</v>
      </c>
      <c r="D121" s="206" t="s">
        <v>272</v>
      </c>
      <c r="E121" s="206">
        <v>4</v>
      </c>
      <c r="F121" s="209">
        <v>0.03</v>
      </c>
      <c r="G121" s="209">
        <f t="shared" si="7"/>
        <v>0.12</v>
      </c>
      <c r="H121" s="210" t="s">
        <v>126</v>
      </c>
      <c r="I121" s="198" t="s">
        <v>844</v>
      </c>
      <c r="J121" s="212"/>
      <c r="AN121" s="131">
        <v>2</v>
      </c>
    </row>
    <row r="122" spans="1:40" s="131" customFormat="1" x14ac:dyDescent="0.2">
      <c r="A122" s="195" t="s">
        <v>213</v>
      </c>
      <c r="B122" s="218" t="s">
        <v>94</v>
      </c>
      <c r="C122" s="208" t="s">
        <v>469</v>
      </c>
      <c r="D122" s="206" t="s">
        <v>272</v>
      </c>
      <c r="E122" s="206">
        <v>4</v>
      </c>
      <c r="F122" s="209">
        <v>0.03</v>
      </c>
      <c r="G122" s="209">
        <f t="shared" si="7"/>
        <v>0.12</v>
      </c>
      <c r="H122" s="210">
        <v>1.4300999999999999</v>
      </c>
      <c r="I122" s="198" t="s">
        <v>859</v>
      </c>
      <c r="J122" s="212"/>
      <c r="AN122" s="131">
        <v>2</v>
      </c>
    </row>
    <row r="123" spans="1:40" s="131" customFormat="1" x14ac:dyDescent="0.2">
      <c r="A123" s="195" t="s">
        <v>213</v>
      </c>
      <c r="B123" s="218" t="s">
        <v>95</v>
      </c>
      <c r="C123" s="208" t="s">
        <v>470</v>
      </c>
      <c r="D123" s="206" t="s">
        <v>125</v>
      </c>
      <c r="E123" s="206">
        <v>1</v>
      </c>
      <c r="F123" s="209">
        <v>0.32</v>
      </c>
      <c r="G123" s="209">
        <f t="shared" si="7"/>
        <v>0.32</v>
      </c>
      <c r="H123" s="210" t="s">
        <v>126</v>
      </c>
      <c r="I123" s="198" t="s">
        <v>844</v>
      </c>
      <c r="J123" s="212"/>
      <c r="AN123" s="131">
        <v>2</v>
      </c>
    </row>
    <row r="124" spans="1:40" s="131" customFormat="1" x14ac:dyDescent="0.2">
      <c r="A124" s="195" t="s">
        <v>237</v>
      </c>
      <c r="B124" s="222" t="s">
        <v>96</v>
      </c>
      <c r="C124" s="196" t="s">
        <v>892</v>
      </c>
      <c r="D124" s="197" t="s">
        <v>893</v>
      </c>
      <c r="E124" s="197">
        <v>1</v>
      </c>
      <c r="F124" s="197"/>
      <c r="G124" s="197"/>
      <c r="H124" s="195"/>
      <c r="I124" s="198"/>
      <c r="J124" s="199"/>
      <c r="AN124" s="131">
        <v>2</v>
      </c>
    </row>
    <row r="125" spans="1:40" s="131" customFormat="1" x14ac:dyDescent="0.2">
      <c r="A125" s="195" t="s">
        <v>237</v>
      </c>
      <c r="B125" s="222" t="s">
        <v>188</v>
      </c>
      <c r="C125" s="196" t="s">
        <v>894</v>
      </c>
      <c r="D125" s="197" t="s">
        <v>474</v>
      </c>
      <c r="E125" s="197">
        <v>1</v>
      </c>
      <c r="F125" s="207"/>
      <c r="G125" s="207" t="str">
        <f>""</f>
        <v/>
      </c>
      <c r="H125" s="195"/>
      <c r="I125" s="198"/>
      <c r="J125" s="199"/>
      <c r="AN125" s="131">
        <v>3</v>
      </c>
    </row>
    <row r="126" spans="1:40" s="131" customFormat="1" outlineLevel="1" x14ac:dyDescent="0.2">
      <c r="A126" s="195" t="s">
        <v>213</v>
      </c>
      <c r="B126" s="222" t="s">
        <v>334</v>
      </c>
      <c r="C126" s="200" t="s">
        <v>895</v>
      </c>
      <c r="D126" s="201" t="s">
        <v>282</v>
      </c>
      <c r="E126" s="201">
        <f>1*1</f>
        <v>1</v>
      </c>
      <c r="F126" s="202">
        <v>0.80517821999999994</v>
      </c>
      <c r="G126" s="202">
        <f t="shared" ref="G126:G140" si="8">F126*E126</f>
        <v>0.80517821999999994</v>
      </c>
      <c r="H126" s="203" t="s">
        <v>126</v>
      </c>
      <c r="I126" s="204"/>
      <c r="J126" s="205"/>
      <c r="AN126" s="131">
        <v>4</v>
      </c>
    </row>
    <row r="127" spans="1:40" s="131" customFormat="1" outlineLevel="1" x14ac:dyDescent="0.2">
      <c r="A127" s="195" t="s">
        <v>213</v>
      </c>
      <c r="B127" s="222" t="s">
        <v>335</v>
      </c>
      <c r="C127" s="200" t="s">
        <v>896</v>
      </c>
      <c r="D127" s="201" t="s">
        <v>282</v>
      </c>
      <c r="E127" s="201">
        <f>1*1</f>
        <v>1</v>
      </c>
      <c r="F127" s="202">
        <v>0.80699315000000005</v>
      </c>
      <c r="G127" s="202">
        <f t="shared" si="8"/>
        <v>0.80699315000000005</v>
      </c>
      <c r="H127" s="203" t="s">
        <v>126</v>
      </c>
      <c r="I127" s="204"/>
      <c r="J127" s="205"/>
      <c r="AN127" s="131">
        <v>4</v>
      </c>
    </row>
    <row r="128" spans="1:40" s="131" customFormat="1" outlineLevel="1" x14ac:dyDescent="0.2">
      <c r="A128" s="195" t="s">
        <v>213</v>
      </c>
      <c r="B128" s="222" t="s">
        <v>336</v>
      </c>
      <c r="C128" s="200" t="s">
        <v>387</v>
      </c>
      <c r="D128" s="201" t="s">
        <v>283</v>
      </c>
      <c r="E128" s="201">
        <f>2*1</f>
        <v>2</v>
      </c>
      <c r="F128" s="202">
        <v>4.9778089999999997E-2</v>
      </c>
      <c r="G128" s="202">
        <f t="shared" si="8"/>
        <v>9.9556179999999994E-2</v>
      </c>
      <c r="H128" s="203" t="s">
        <v>126</v>
      </c>
      <c r="I128" s="204"/>
      <c r="J128" s="205"/>
      <c r="AN128" s="131">
        <v>4</v>
      </c>
    </row>
    <row r="129" spans="1:40" s="131" customFormat="1" outlineLevel="1" x14ac:dyDescent="0.2">
      <c r="A129" s="195" t="s">
        <v>213</v>
      </c>
      <c r="B129" s="222" t="s">
        <v>337</v>
      </c>
      <c r="C129" s="200" t="s">
        <v>897</v>
      </c>
      <c r="D129" s="201" t="s">
        <v>898</v>
      </c>
      <c r="E129" s="201">
        <f t="shared" ref="E129:E134" si="9">1*1</f>
        <v>1</v>
      </c>
      <c r="F129" s="202">
        <v>0.85590182000000004</v>
      </c>
      <c r="G129" s="202">
        <f t="shared" si="8"/>
        <v>0.85590182000000004</v>
      </c>
      <c r="H129" s="203" t="s">
        <v>126</v>
      </c>
      <c r="I129" s="204"/>
      <c r="J129" s="205"/>
      <c r="AN129" s="131">
        <v>4</v>
      </c>
    </row>
    <row r="130" spans="1:40" s="131" customFormat="1" outlineLevel="1" x14ac:dyDescent="0.2">
      <c r="A130" s="195" t="s">
        <v>213</v>
      </c>
      <c r="B130" s="222" t="s">
        <v>338</v>
      </c>
      <c r="C130" s="200" t="s">
        <v>899</v>
      </c>
      <c r="D130" s="201" t="s">
        <v>900</v>
      </c>
      <c r="E130" s="201">
        <f t="shared" si="9"/>
        <v>1</v>
      </c>
      <c r="F130" s="202">
        <v>3.1060762999999998</v>
      </c>
      <c r="G130" s="202">
        <f t="shared" si="8"/>
        <v>3.1060762999999998</v>
      </c>
      <c r="H130" s="203" t="s">
        <v>126</v>
      </c>
      <c r="I130" s="204"/>
      <c r="J130" s="205"/>
      <c r="AN130" s="131">
        <v>4</v>
      </c>
    </row>
    <row r="131" spans="1:40" s="131" customFormat="1" outlineLevel="1" x14ac:dyDescent="0.2">
      <c r="A131" s="195" t="s">
        <v>213</v>
      </c>
      <c r="B131" s="222" t="s">
        <v>339</v>
      </c>
      <c r="C131" s="200" t="s">
        <v>901</v>
      </c>
      <c r="D131" s="201" t="s">
        <v>900</v>
      </c>
      <c r="E131" s="201">
        <f t="shared" si="9"/>
        <v>1</v>
      </c>
      <c r="F131" s="202">
        <v>3.1060762999999998</v>
      </c>
      <c r="G131" s="202">
        <f t="shared" si="8"/>
        <v>3.1060762999999998</v>
      </c>
      <c r="H131" s="203" t="s">
        <v>126</v>
      </c>
      <c r="I131" s="204"/>
      <c r="J131" s="205"/>
      <c r="AN131" s="131">
        <v>4</v>
      </c>
    </row>
    <row r="132" spans="1:40" s="131" customFormat="1" outlineLevel="1" x14ac:dyDescent="0.2">
      <c r="A132" s="195" t="s">
        <v>213</v>
      </c>
      <c r="B132" s="222" t="s">
        <v>340</v>
      </c>
      <c r="C132" s="200" t="s">
        <v>902</v>
      </c>
      <c r="D132" s="201" t="s">
        <v>903</v>
      </c>
      <c r="E132" s="201">
        <f t="shared" si="9"/>
        <v>1</v>
      </c>
      <c r="F132" s="202">
        <v>9.7949129999999995E-2</v>
      </c>
      <c r="G132" s="202">
        <f t="shared" si="8"/>
        <v>9.7949129999999995E-2</v>
      </c>
      <c r="H132" s="203" t="s">
        <v>126</v>
      </c>
      <c r="I132" s="204"/>
      <c r="J132" s="205"/>
      <c r="AN132" s="131">
        <v>4</v>
      </c>
    </row>
    <row r="133" spans="1:40" s="131" customFormat="1" outlineLevel="1" x14ac:dyDescent="0.2">
      <c r="A133" s="195" t="s">
        <v>213</v>
      </c>
      <c r="B133" s="222" t="s">
        <v>341</v>
      </c>
      <c r="C133" s="200" t="s">
        <v>388</v>
      </c>
      <c r="D133" s="201" t="s">
        <v>389</v>
      </c>
      <c r="E133" s="201">
        <f t="shared" si="9"/>
        <v>1</v>
      </c>
      <c r="F133" s="202">
        <v>4.0646439999999999E-2</v>
      </c>
      <c r="G133" s="202">
        <f t="shared" si="8"/>
        <v>4.0646439999999999E-2</v>
      </c>
      <c r="H133" s="203" t="s">
        <v>126</v>
      </c>
      <c r="I133" s="204"/>
      <c r="J133" s="205"/>
      <c r="AN133" s="131">
        <v>4</v>
      </c>
    </row>
    <row r="134" spans="1:40" s="131" customFormat="1" outlineLevel="1" x14ac:dyDescent="0.2">
      <c r="A134" s="195" t="s">
        <v>213</v>
      </c>
      <c r="B134" s="222" t="s">
        <v>342</v>
      </c>
      <c r="C134" s="200" t="s">
        <v>904</v>
      </c>
      <c r="D134" s="201" t="s">
        <v>905</v>
      </c>
      <c r="E134" s="201">
        <f t="shared" si="9"/>
        <v>1</v>
      </c>
      <c r="F134" s="202">
        <v>0.13606153000000001</v>
      </c>
      <c r="G134" s="202">
        <f t="shared" si="8"/>
        <v>0.13606153000000001</v>
      </c>
      <c r="H134" s="203" t="s">
        <v>126</v>
      </c>
      <c r="I134" s="204"/>
      <c r="J134" s="205"/>
      <c r="AN134" s="131">
        <v>4</v>
      </c>
    </row>
    <row r="135" spans="1:40" s="131" customFormat="1" outlineLevel="1" x14ac:dyDescent="0.2">
      <c r="A135" s="195" t="s">
        <v>213</v>
      </c>
      <c r="B135" s="222" t="s">
        <v>343</v>
      </c>
      <c r="C135" s="200" t="s">
        <v>906</v>
      </c>
      <c r="D135" s="201" t="s">
        <v>907</v>
      </c>
      <c r="E135" s="201">
        <f>2*1</f>
        <v>2</v>
      </c>
      <c r="F135" s="202">
        <v>0.35531842000000002</v>
      </c>
      <c r="G135" s="202">
        <f t="shared" si="8"/>
        <v>0.71063684000000005</v>
      </c>
      <c r="H135" s="203" t="s">
        <v>126</v>
      </c>
      <c r="I135" s="204"/>
      <c r="J135" s="205"/>
      <c r="AN135" s="131">
        <v>4</v>
      </c>
    </row>
    <row r="136" spans="1:40" s="131" customFormat="1" outlineLevel="1" x14ac:dyDescent="0.2">
      <c r="A136" s="195" t="s">
        <v>213</v>
      </c>
      <c r="B136" s="222" t="s">
        <v>344</v>
      </c>
      <c r="C136" s="200" t="s">
        <v>908</v>
      </c>
      <c r="D136" s="201" t="s">
        <v>909</v>
      </c>
      <c r="E136" s="201">
        <f>2*1</f>
        <v>2</v>
      </c>
      <c r="F136" s="202">
        <v>0.97465352000000005</v>
      </c>
      <c r="G136" s="202">
        <f t="shared" si="8"/>
        <v>1.9493070400000001</v>
      </c>
      <c r="H136" s="203" t="s">
        <v>126</v>
      </c>
      <c r="I136" s="204"/>
      <c r="J136" s="205"/>
      <c r="AN136" s="131">
        <v>4</v>
      </c>
    </row>
    <row r="137" spans="1:40" s="131" customFormat="1" outlineLevel="1" x14ac:dyDescent="0.2">
      <c r="A137" s="195" t="s">
        <v>213</v>
      </c>
      <c r="B137" s="222" t="s">
        <v>345</v>
      </c>
      <c r="C137" s="200" t="s">
        <v>910</v>
      </c>
      <c r="D137" s="201" t="s">
        <v>911</v>
      </c>
      <c r="E137" s="201">
        <f>2*1</f>
        <v>2</v>
      </c>
      <c r="F137" s="202">
        <v>6.9490120000000002E-2</v>
      </c>
      <c r="G137" s="202">
        <f t="shared" si="8"/>
        <v>0.13898024</v>
      </c>
      <c r="H137" s="203" t="s">
        <v>126</v>
      </c>
      <c r="I137" s="204"/>
      <c r="J137" s="205"/>
      <c r="AN137" s="131">
        <v>4</v>
      </c>
    </row>
    <row r="138" spans="1:40" s="131" customFormat="1" outlineLevel="1" x14ac:dyDescent="0.2">
      <c r="A138" s="195" t="s">
        <v>213</v>
      </c>
      <c r="B138" s="222" t="s">
        <v>346</v>
      </c>
      <c r="C138" s="200" t="s">
        <v>912</v>
      </c>
      <c r="D138" s="201" t="s">
        <v>913</v>
      </c>
      <c r="E138" s="201">
        <f>2*1</f>
        <v>2</v>
      </c>
      <c r="F138" s="202">
        <v>4.4249709999999998E-2</v>
      </c>
      <c r="G138" s="202">
        <f t="shared" si="8"/>
        <v>8.8499419999999995E-2</v>
      </c>
      <c r="H138" s="203" t="s">
        <v>126</v>
      </c>
      <c r="I138" s="204"/>
      <c r="J138" s="205"/>
      <c r="AN138" s="131">
        <v>4</v>
      </c>
    </row>
    <row r="139" spans="1:40" s="131" customFormat="1" outlineLevel="1" x14ac:dyDescent="0.2">
      <c r="A139" s="195" t="s">
        <v>213</v>
      </c>
      <c r="B139" s="222" t="s">
        <v>347</v>
      </c>
      <c r="C139" s="200" t="s">
        <v>914</v>
      </c>
      <c r="D139" s="201" t="s">
        <v>915</v>
      </c>
      <c r="E139" s="201">
        <f>1*1</f>
        <v>1</v>
      </c>
      <c r="F139" s="202">
        <v>0.44933079999999997</v>
      </c>
      <c r="G139" s="202">
        <f t="shared" si="8"/>
        <v>0.44933079999999997</v>
      </c>
      <c r="H139" s="203" t="s">
        <v>126</v>
      </c>
      <c r="I139" s="204"/>
      <c r="J139" s="205"/>
      <c r="AN139" s="131">
        <v>4</v>
      </c>
    </row>
    <row r="140" spans="1:40" s="131" customFormat="1" outlineLevel="1" x14ac:dyDescent="0.2">
      <c r="A140" s="195" t="s">
        <v>162</v>
      </c>
      <c r="B140" s="222" t="s">
        <v>348</v>
      </c>
      <c r="C140" s="153" t="s">
        <v>284</v>
      </c>
      <c r="D140" s="154" t="s">
        <v>285</v>
      </c>
      <c r="E140" s="154">
        <f>4*1</f>
        <v>4</v>
      </c>
      <c r="F140" s="155">
        <v>2.0882000000000001E-3</v>
      </c>
      <c r="G140" s="155">
        <f t="shared" si="8"/>
        <v>8.3528000000000005E-3</v>
      </c>
      <c r="H140" s="156"/>
      <c r="I140" s="157"/>
      <c r="J140" s="158"/>
      <c r="AN140" s="131">
        <v>4</v>
      </c>
    </row>
    <row r="141" spans="1:40" s="131" customFormat="1" x14ac:dyDescent="0.2">
      <c r="A141" s="195" t="s">
        <v>237</v>
      </c>
      <c r="B141" s="222" t="s">
        <v>189</v>
      </c>
      <c r="C141" s="196" t="s">
        <v>916</v>
      </c>
      <c r="D141" s="197" t="s">
        <v>513</v>
      </c>
      <c r="E141" s="197">
        <v>1</v>
      </c>
      <c r="F141" s="207"/>
      <c r="G141" s="207" t="str">
        <f>""</f>
        <v/>
      </c>
      <c r="H141" s="195"/>
      <c r="I141" s="198"/>
      <c r="J141" s="199"/>
      <c r="AN141" s="131">
        <v>3</v>
      </c>
    </row>
    <row r="142" spans="1:40" s="131" customFormat="1" ht="25.5" outlineLevel="1" x14ac:dyDescent="0.2">
      <c r="A142" s="195" t="s">
        <v>213</v>
      </c>
      <c r="B142" s="222" t="s">
        <v>358</v>
      </c>
      <c r="C142" s="153" t="s">
        <v>917</v>
      </c>
      <c r="D142" s="154" t="s">
        <v>918</v>
      </c>
      <c r="E142" s="154">
        <f>1*1</f>
        <v>1</v>
      </c>
      <c r="F142" s="155">
        <v>8</v>
      </c>
      <c r="G142" s="155">
        <f>F142*E142</f>
        <v>8</v>
      </c>
      <c r="H142" s="156" t="s">
        <v>366</v>
      </c>
      <c r="I142" s="157"/>
      <c r="J142" s="158" t="s">
        <v>362</v>
      </c>
      <c r="AN142" s="131">
        <v>4</v>
      </c>
    </row>
    <row r="143" spans="1:40" s="131" customFormat="1" ht="25.5" outlineLevel="1" x14ac:dyDescent="0.2">
      <c r="A143" s="195" t="s">
        <v>213</v>
      </c>
      <c r="B143" s="222" t="s">
        <v>359</v>
      </c>
      <c r="C143" s="153"/>
      <c r="D143" s="154" t="s">
        <v>919</v>
      </c>
      <c r="E143" s="154">
        <f>1*1</f>
        <v>1</v>
      </c>
      <c r="F143" s="155">
        <v>0.8</v>
      </c>
      <c r="G143" s="155">
        <f>F143*E143</f>
        <v>0.8</v>
      </c>
      <c r="H143" s="156"/>
      <c r="I143" s="157"/>
      <c r="J143" s="158" t="s">
        <v>362</v>
      </c>
      <c r="AN143" s="131">
        <v>4</v>
      </c>
    </row>
    <row r="144" spans="1:40" s="131" customFormat="1" ht="25.5" outlineLevel="1" x14ac:dyDescent="0.2">
      <c r="A144" s="195" t="s">
        <v>213</v>
      </c>
      <c r="B144" s="222" t="s">
        <v>361</v>
      </c>
      <c r="C144" s="153" t="s">
        <v>523</v>
      </c>
      <c r="D144" s="154" t="s">
        <v>360</v>
      </c>
      <c r="E144" s="154">
        <f>8*1</f>
        <v>8</v>
      </c>
      <c r="F144" s="155">
        <v>0</v>
      </c>
      <c r="G144" s="155">
        <f>F144*E144</f>
        <v>0</v>
      </c>
      <c r="H144" s="156"/>
      <c r="I144" s="157"/>
      <c r="J144" s="158"/>
      <c r="AN144" s="131">
        <v>4</v>
      </c>
    </row>
    <row r="145" spans="1:40" s="131" customFormat="1" x14ac:dyDescent="0.2">
      <c r="A145" s="195" t="s">
        <v>237</v>
      </c>
      <c r="B145" s="222" t="s">
        <v>189</v>
      </c>
      <c r="C145" s="196" t="s">
        <v>960</v>
      </c>
      <c r="D145" s="197" t="s">
        <v>513</v>
      </c>
      <c r="E145" s="197">
        <v>1</v>
      </c>
      <c r="F145" s="207"/>
      <c r="G145" s="207" t="str">
        <f>""</f>
        <v/>
      </c>
      <c r="H145" s="195"/>
      <c r="I145" s="198" t="s">
        <v>959</v>
      </c>
      <c r="J145" s="199"/>
      <c r="AN145" s="131">
        <v>3</v>
      </c>
    </row>
    <row r="146" spans="1:40" s="131" customFormat="1" ht="25.5" outlineLevel="1" x14ac:dyDescent="0.2">
      <c r="A146" s="195" t="s">
        <v>213</v>
      </c>
      <c r="B146" s="222" t="s">
        <v>358</v>
      </c>
      <c r="C146" s="153" t="s">
        <v>961</v>
      </c>
      <c r="D146" s="154" t="s">
        <v>918</v>
      </c>
      <c r="E146" s="154">
        <f>1*1</f>
        <v>1</v>
      </c>
      <c r="F146" s="155">
        <v>8</v>
      </c>
      <c r="G146" s="155">
        <f>F146*E146</f>
        <v>8</v>
      </c>
      <c r="H146" s="156" t="s">
        <v>366</v>
      </c>
      <c r="I146" s="198" t="s">
        <v>959</v>
      </c>
      <c r="J146" s="158" t="s">
        <v>362</v>
      </c>
      <c r="AN146" s="131">
        <v>4</v>
      </c>
    </row>
    <row r="147" spans="1:40" s="131" customFormat="1" ht="25.5" outlineLevel="1" x14ac:dyDescent="0.2">
      <c r="A147" s="195" t="s">
        <v>213</v>
      </c>
      <c r="B147" s="222" t="s">
        <v>359</v>
      </c>
      <c r="C147" s="153"/>
      <c r="D147" s="154" t="s">
        <v>919</v>
      </c>
      <c r="E147" s="154">
        <f>1*1</f>
        <v>1</v>
      </c>
      <c r="F147" s="155">
        <v>0.8</v>
      </c>
      <c r="G147" s="155">
        <f>F147*E147</f>
        <v>0.8</v>
      </c>
      <c r="H147" s="156"/>
      <c r="I147" s="198" t="s">
        <v>959</v>
      </c>
      <c r="J147" s="158" t="s">
        <v>362</v>
      </c>
      <c r="AN147" s="131">
        <v>4</v>
      </c>
    </row>
    <row r="148" spans="1:40" s="131" customFormat="1" ht="25.5" outlineLevel="1" x14ac:dyDescent="0.2">
      <c r="A148" s="195" t="s">
        <v>213</v>
      </c>
      <c r="B148" s="222" t="s">
        <v>361</v>
      </c>
      <c r="C148" s="153" t="s">
        <v>523</v>
      </c>
      <c r="D148" s="154" t="s">
        <v>360</v>
      </c>
      <c r="E148" s="154">
        <f>8*1</f>
        <v>8</v>
      </c>
      <c r="F148" s="155">
        <v>0</v>
      </c>
      <c r="G148" s="155">
        <f>F148*E148</f>
        <v>0</v>
      </c>
      <c r="H148" s="156"/>
      <c r="I148" s="198" t="s">
        <v>959</v>
      </c>
      <c r="J148" s="158"/>
      <c r="AN148" s="131">
        <v>4</v>
      </c>
    </row>
    <row r="149" spans="1:40" s="131" customFormat="1" x14ac:dyDescent="0.2">
      <c r="A149" s="195" t="s">
        <v>237</v>
      </c>
      <c r="B149" s="222" t="s">
        <v>190</v>
      </c>
      <c r="C149" s="196" t="s">
        <v>920</v>
      </c>
      <c r="D149" s="197" t="s">
        <v>525</v>
      </c>
      <c r="E149" s="197">
        <v>1</v>
      </c>
      <c r="F149" s="207"/>
      <c r="G149" s="207" t="str">
        <f>""</f>
        <v/>
      </c>
      <c r="H149" s="195"/>
      <c r="I149" s="198" t="s">
        <v>948</v>
      </c>
      <c r="J149" s="199"/>
      <c r="AN149" s="131">
        <v>3</v>
      </c>
    </row>
    <row r="150" spans="1:40" s="131" customFormat="1" ht="25.5" outlineLevel="1" x14ac:dyDescent="0.2">
      <c r="A150" s="195" t="s">
        <v>213</v>
      </c>
      <c r="B150" s="222" t="s">
        <v>363</v>
      </c>
      <c r="C150" s="153" t="s">
        <v>921</v>
      </c>
      <c r="D150" s="154" t="s">
        <v>922</v>
      </c>
      <c r="E150" s="154">
        <f>1*1</f>
        <v>1</v>
      </c>
      <c r="F150" s="155">
        <v>2.06</v>
      </c>
      <c r="G150" s="155">
        <f>F150*E150</f>
        <v>2.06</v>
      </c>
      <c r="H150" s="156" t="s">
        <v>366</v>
      </c>
      <c r="I150" s="198" t="s">
        <v>948</v>
      </c>
      <c r="J150" s="158" t="s">
        <v>362</v>
      </c>
      <c r="AN150" s="131">
        <v>4</v>
      </c>
    </row>
    <row r="151" spans="1:40" s="131" customFormat="1" ht="25.5" outlineLevel="1" x14ac:dyDescent="0.2">
      <c r="A151" s="195" t="s">
        <v>213</v>
      </c>
      <c r="B151" s="222" t="s">
        <v>364</v>
      </c>
      <c r="C151" s="153"/>
      <c r="D151" s="154" t="s">
        <v>923</v>
      </c>
      <c r="E151" s="154">
        <f>1*1</f>
        <v>1</v>
      </c>
      <c r="F151" s="155">
        <v>0.3</v>
      </c>
      <c r="G151" s="155">
        <f>F151*E151</f>
        <v>0.3</v>
      </c>
      <c r="H151" s="156"/>
      <c r="I151" s="198" t="s">
        <v>948</v>
      </c>
      <c r="J151" s="158" t="s">
        <v>362</v>
      </c>
      <c r="AN151" s="131">
        <v>4</v>
      </c>
    </row>
    <row r="152" spans="1:40" s="131" customFormat="1" ht="25.5" outlineLevel="1" x14ac:dyDescent="0.2">
      <c r="A152" s="195" t="s">
        <v>213</v>
      </c>
      <c r="B152" s="222" t="s">
        <v>365</v>
      </c>
      <c r="C152" s="153" t="s">
        <v>523</v>
      </c>
      <c r="D152" s="154" t="s">
        <v>360</v>
      </c>
      <c r="E152" s="154">
        <f>7*1</f>
        <v>7</v>
      </c>
      <c r="F152" s="155">
        <v>0</v>
      </c>
      <c r="G152" s="155">
        <f>F152*E152</f>
        <v>0</v>
      </c>
      <c r="H152" s="156"/>
      <c r="I152" s="198" t="s">
        <v>948</v>
      </c>
      <c r="J152" s="158"/>
      <c r="AN152" s="131">
        <v>4</v>
      </c>
    </row>
    <row r="153" spans="1:40" s="131" customFormat="1" outlineLevel="1" x14ac:dyDescent="0.2">
      <c r="A153" s="195" t="s">
        <v>237</v>
      </c>
      <c r="B153" s="218" t="s">
        <v>191</v>
      </c>
      <c r="C153" s="196" t="s">
        <v>524</v>
      </c>
      <c r="D153" s="197" t="s">
        <v>525</v>
      </c>
      <c r="E153" s="197">
        <f>1*1</f>
        <v>1</v>
      </c>
      <c r="F153" s="207"/>
      <c r="G153" s="207" t="str">
        <f>""</f>
        <v/>
      </c>
      <c r="H153" s="195"/>
      <c r="I153" s="198" t="s">
        <v>945</v>
      </c>
      <c r="J153" s="199"/>
      <c r="AN153" s="131">
        <v>3</v>
      </c>
    </row>
    <row r="154" spans="1:40" s="131" customFormat="1" ht="25.5" outlineLevel="2" x14ac:dyDescent="0.2">
      <c r="A154" s="195" t="s">
        <v>162</v>
      </c>
      <c r="B154" s="218" t="s">
        <v>349</v>
      </c>
      <c r="C154" s="153" t="s">
        <v>526</v>
      </c>
      <c r="D154" s="154" t="s">
        <v>527</v>
      </c>
      <c r="E154" s="154">
        <f>1*1</f>
        <v>1</v>
      </c>
      <c r="F154" s="155">
        <v>1.35</v>
      </c>
      <c r="G154" s="155">
        <f>F154*E154</f>
        <v>1.35</v>
      </c>
      <c r="H154" s="156" t="s">
        <v>366</v>
      </c>
      <c r="I154" s="198" t="s">
        <v>945</v>
      </c>
      <c r="J154" s="158" t="s">
        <v>362</v>
      </c>
      <c r="AN154" s="131">
        <v>4</v>
      </c>
    </row>
    <row r="155" spans="1:40" s="131" customFormat="1" ht="25.5" outlineLevel="2" x14ac:dyDescent="0.2">
      <c r="A155" s="195" t="s">
        <v>162</v>
      </c>
      <c r="B155" s="218" t="s">
        <v>350</v>
      </c>
      <c r="C155" s="153"/>
      <c r="D155" s="154" t="s">
        <v>528</v>
      </c>
      <c r="E155" s="154">
        <f>1*1</f>
        <v>1</v>
      </c>
      <c r="F155" s="155">
        <v>0.2</v>
      </c>
      <c r="G155" s="155">
        <f>F155*E155</f>
        <v>0.2</v>
      </c>
      <c r="H155" s="156"/>
      <c r="I155" s="198" t="s">
        <v>945</v>
      </c>
      <c r="J155" s="158" t="s">
        <v>362</v>
      </c>
      <c r="AN155" s="131">
        <v>4</v>
      </c>
    </row>
    <row r="156" spans="1:40" s="131" customFormat="1" ht="25.5" outlineLevel="2" x14ac:dyDescent="0.2">
      <c r="A156" s="195" t="s">
        <v>162</v>
      </c>
      <c r="B156" s="218" t="s">
        <v>351</v>
      </c>
      <c r="C156" s="153" t="s">
        <v>523</v>
      </c>
      <c r="D156" s="154" t="s">
        <v>360</v>
      </c>
      <c r="E156" s="154">
        <f>7*1</f>
        <v>7</v>
      </c>
      <c r="F156" s="155">
        <v>0</v>
      </c>
      <c r="G156" s="155">
        <f>F156*E156</f>
        <v>0</v>
      </c>
      <c r="H156" s="156"/>
      <c r="I156" s="198" t="s">
        <v>945</v>
      </c>
      <c r="J156" s="158"/>
      <c r="AN156" s="131">
        <v>4</v>
      </c>
    </row>
    <row r="157" spans="1:40" s="131" customFormat="1" outlineLevel="1" x14ac:dyDescent="0.2">
      <c r="A157" s="195" t="s">
        <v>237</v>
      </c>
      <c r="B157" s="218" t="s">
        <v>192</v>
      </c>
      <c r="C157" s="196" t="s">
        <v>529</v>
      </c>
      <c r="D157" s="197" t="s">
        <v>530</v>
      </c>
      <c r="E157" s="197">
        <f>1*1</f>
        <v>1</v>
      </c>
      <c r="F157" s="207"/>
      <c r="G157" s="207" t="str">
        <f>""</f>
        <v/>
      </c>
      <c r="H157" s="195"/>
      <c r="I157" s="198" t="s">
        <v>945</v>
      </c>
      <c r="J157" s="199"/>
      <c r="AN157" s="131">
        <v>3</v>
      </c>
    </row>
    <row r="158" spans="1:40" s="131" customFormat="1" ht="25.5" outlineLevel="2" x14ac:dyDescent="0.2">
      <c r="A158" s="195" t="s">
        <v>162</v>
      </c>
      <c r="B158" s="218" t="s">
        <v>352</v>
      </c>
      <c r="C158" s="153" t="s">
        <v>531</v>
      </c>
      <c r="D158" s="154" t="s">
        <v>532</v>
      </c>
      <c r="E158" s="154">
        <f>1*1</f>
        <v>1</v>
      </c>
      <c r="F158" s="155">
        <v>0.28000000000000003</v>
      </c>
      <c r="G158" s="155">
        <f>F158*E158</f>
        <v>0.28000000000000003</v>
      </c>
      <c r="H158" s="156" t="s">
        <v>366</v>
      </c>
      <c r="I158" s="198" t="s">
        <v>945</v>
      </c>
      <c r="J158" s="158" t="s">
        <v>362</v>
      </c>
      <c r="AN158" s="131">
        <v>4</v>
      </c>
    </row>
    <row r="159" spans="1:40" s="131" customFormat="1" ht="25.5" outlineLevel="2" x14ac:dyDescent="0.2">
      <c r="A159" s="195" t="s">
        <v>162</v>
      </c>
      <c r="B159" s="218" t="s">
        <v>353</v>
      </c>
      <c r="C159" s="153"/>
      <c r="D159" s="154" t="s">
        <v>533</v>
      </c>
      <c r="E159" s="154">
        <f>1*1</f>
        <v>1</v>
      </c>
      <c r="F159" s="155">
        <v>8.67</v>
      </c>
      <c r="G159" s="155">
        <f>F159*E159</f>
        <v>8.67</v>
      </c>
      <c r="H159" s="156"/>
      <c r="I159" s="198" t="s">
        <v>945</v>
      </c>
      <c r="J159" s="158" t="s">
        <v>362</v>
      </c>
      <c r="AN159" s="131">
        <v>4</v>
      </c>
    </row>
    <row r="160" spans="1:40" s="131" customFormat="1" ht="25.5" outlineLevel="2" x14ac:dyDescent="0.2">
      <c r="A160" s="195" t="s">
        <v>162</v>
      </c>
      <c r="B160" s="218" t="s">
        <v>354</v>
      </c>
      <c r="C160" s="153" t="s">
        <v>523</v>
      </c>
      <c r="D160" s="154" t="s">
        <v>360</v>
      </c>
      <c r="E160" s="154">
        <f>4*1</f>
        <v>4</v>
      </c>
      <c r="F160" s="155">
        <v>0</v>
      </c>
      <c r="G160" s="155">
        <f>F160*E160</f>
        <v>0</v>
      </c>
      <c r="H160" s="156"/>
      <c r="I160" s="198" t="s">
        <v>945</v>
      </c>
      <c r="J160" s="158"/>
      <c r="AN160" s="131">
        <v>4</v>
      </c>
    </row>
    <row r="161" spans="1:40" s="131" customFormat="1" outlineLevel="1" x14ac:dyDescent="0.2">
      <c r="A161" s="195" t="s">
        <v>237</v>
      </c>
      <c r="B161" s="218" t="s">
        <v>193</v>
      </c>
      <c r="C161" s="196" t="s">
        <v>534</v>
      </c>
      <c r="D161" s="197" t="s">
        <v>530</v>
      </c>
      <c r="E161" s="197">
        <f>1*1</f>
        <v>1</v>
      </c>
      <c r="F161" s="207"/>
      <c r="G161" s="207" t="str">
        <f>""</f>
        <v/>
      </c>
      <c r="H161" s="195"/>
      <c r="I161" s="198" t="s">
        <v>945</v>
      </c>
      <c r="J161" s="199"/>
      <c r="AN161" s="131">
        <v>3</v>
      </c>
    </row>
    <row r="162" spans="1:40" s="131" customFormat="1" ht="25.5" outlineLevel="2" x14ac:dyDescent="0.2">
      <c r="A162" s="195" t="s">
        <v>162</v>
      </c>
      <c r="B162" s="218" t="s">
        <v>535</v>
      </c>
      <c r="C162" s="153" t="s">
        <v>536</v>
      </c>
      <c r="D162" s="154" t="s">
        <v>532</v>
      </c>
      <c r="E162" s="154">
        <f>1*1</f>
        <v>1</v>
      </c>
      <c r="F162" s="155">
        <v>0.28000000000000003</v>
      </c>
      <c r="G162" s="155">
        <f>F162*E162</f>
        <v>0.28000000000000003</v>
      </c>
      <c r="H162" s="156" t="s">
        <v>366</v>
      </c>
      <c r="I162" s="198" t="s">
        <v>945</v>
      </c>
      <c r="J162" s="158" t="s">
        <v>362</v>
      </c>
      <c r="AN162" s="131">
        <v>4</v>
      </c>
    </row>
    <row r="163" spans="1:40" s="131" customFormat="1" ht="25.5" outlineLevel="2" x14ac:dyDescent="0.2">
      <c r="A163" s="195" t="s">
        <v>162</v>
      </c>
      <c r="B163" s="218" t="s">
        <v>537</v>
      </c>
      <c r="C163" s="153"/>
      <c r="D163" s="154" t="s">
        <v>538</v>
      </c>
      <c r="E163" s="154">
        <f>1*1</f>
        <v>1</v>
      </c>
      <c r="F163" s="155">
        <v>0.1</v>
      </c>
      <c r="G163" s="155">
        <f>F163*E163</f>
        <v>0.1</v>
      </c>
      <c r="H163" s="156"/>
      <c r="I163" s="198" t="s">
        <v>945</v>
      </c>
      <c r="J163" s="158" t="s">
        <v>362</v>
      </c>
      <c r="AN163" s="131">
        <v>4</v>
      </c>
    </row>
    <row r="164" spans="1:40" s="131" customFormat="1" ht="25.5" outlineLevel="2" x14ac:dyDescent="0.2">
      <c r="A164" s="195" t="s">
        <v>162</v>
      </c>
      <c r="B164" s="218" t="s">
        <v>539</v>
      </c>
      <c r="C164" s="153" t="s">
        <v>523</v>
      </c>
      <c r="D164" s="154" t="s">
        <v>360</v>
      </c>
      <c r="E164" s="154">
        <f>4*1</f>
        <v>4</v>
      </c>
      <c r="F164" s="155">
        <v>0</v>
      </c>
      <c r="G164" s="155">
        <f>F164*E164</f>
        <v>0</v>
      </c>
      <c r="H164" s="156"/>
      <c r="I164" s="198" t="s">
        <v>945</v>
      </c>
      <c r="J164" s="158"/>
      <c r="AN164" s="131">
        <v>4</v>
      </c>
    </row>
    <row r="165" spans="1:40" s="131" customFormat="1" x14ac:dyDescent="0.2">
      <c r="A165" s="195" t="s">
        <v>237</v>
      </c>
      <c r="B165" s="222" t="s">
        <v>191</v>
      </c>
      <c r="C165" s="196" t="s">
        <v>579</v>
      </c>
      <c r="D165" s="197" t="s">
        <v>580</v>
      </c>
      <c r="E165" s="197">
        <v>1</v>
      </c>
      <c r="F165" s="207"/>
      <c r="G165" s="207" t="str">
        <f>""</f>
        <v/>
      </c>
      <c r="H165" s="195"/>
      <c r="I165" s="198"/>
      <c r="J165" s="199"/>
      <c r="AN165" s="131">
        <v>3</v>
      </c>
    </row>
    <row r="166" spans="1:40" s="131" customFormat="1" outlineLevel="1" x14ac:dyDescent="0.2">
      <c r="A166" s="195" t="s">
        <v>213</v>
      </c>
      <c r="B166" s="222" t="s">
        <v>349</v>
      </c>
      <c r="C166" s="200" t="s">
        <v>390</v>
      </c>
      <c r="D166" s="201" t="s">
        <v>391</v>
      </c>
      <c r="E166" s="201">
        <f>1*1</f>
        <v>1</v>
      </c>
      <c r="F166" s="202">
        <v>0.14000000000000001</v>
      </c>
      <c r="G166" s="202">
        <f t="shared" ref="G166:G172" si="10">F166*E166</f>
        <v>0.14000000000000001</v>
      </c>
      <c r="H166" s="203" t="s">
        <v>126</v>
      </c>
      <c r="I166" s="204"/>
      <c r="J166" s="205"/>
      <c r="AN166" s="131">
        <v>4</v>
      </c>
    </row>
    <row r="167" spans="1:40" s="131" customFormat="1" outlineLevel="1" x14ac:dyDescent="0.2">
      <c r="A167" s="195" t="s">
        <v>213</v>
      </c>
      <c r="B167" s="222" t="s">
        <v>350</v>
      </c>
      <c r="C167" s="200" t="s">
        <v>583</v>
      </c>
      <c r="D167" s="201" t="s">
        <v>286</v>
      </c>
      <c r="E167" s="201">
        <f>1*1</f>
        <v>1</v>
      </c>
      <c r="F167" s="202">
        <v>0.47</v>
      </c>
      <c r="G167" s="202">
        <f t="shared" si="10"/>
        <v>0.47</v>
      </c>
      <c r="H167" s="203" t="s">
        <v>126</v>
      </c>
      <c r="I167" s="204"/>
      <c r="J167" s="205"/>
      <c r="AN167" s="131">
        <v>4</v>
      </c>
    </row>
    <row r="168" spans="1:40" s="131" customFormat="1" outlineLevel="1" x14ac:dyDescent="0.2">
      <c r="A168" s="195" t="s">
        <v>213</v>
      </c>
      <c r="B168" s="222" t="s">
        <v>351</v>
      </c>
      <c r="C168" s="200" t="s">
        <v>585</v>
      </c>
      <c r="D168" s="201" t="s">
        <v>286</v>
      </c>
      <c r="E168" s="201">
        <f>1*1</f>
        <v>1</v>
      </c>
      <c r="F168" s="202">
        <v>0.47</v>
      </c>
      <c r="G168" s="202">
        <f t="shared" si="10"/>
        <v>0.47</v>
      </c>
      <c r="H168" s="203" t="s">
        <v>126</v>
      </c>
      <c r="I168" s="204"/>
      <c r="J168" s="205"/>
      <c r="AN168" s="131">
        <v>4</v>
      </c>
    </row>
    <row r="169" spans="1:40" s="131" customFormat="1" outlineLevel="1" x14ac:dyDescent="0.2">
      <c r="A169" s="195" t="s">
        <v>213</v>
      </c>
      <c r="B169" s="222" t="s">
        <v>924</v>
      </c>
      <c r="C169" s="200" t="s">
        <v>288</v>
      </c>
      <c r="D169" s="201" t="s">
        <v>287</v>
      </c>
      <c r="E169" s="201">
        <f>1*1</f>
        <v>1</v>
      </c>
      <c r="F169" s="202">
        <v>0.45</v>
      </c>
      <c r="G169" s="202">
        <f t="shared" si="10"/>
        <v>0.45</v>
      </c>
      <c r="H169" s="203" t="s">
        <v>126</v>
      </c>
      <c r="I169" s="204"/>
      <c r="J169" s="205"/>
      <c r="AN169" s="131">
        <v>4</v>
      </c>
    </row>
    <row r="170" spans="1:40" s="131" customFormat="1" outlineLevel="1" x14ac:dyDescent="0.2">
      <c r="A170" s="195" t="s">
        <v>213</v>
      </c>
      <c r="B170" s="222" t="s">
        <v>925</v>
      </c>
      <c r="C170" s="200" t="s">
        <v>588</v>
      </c>
      <c r="D170" s="201" t="s">
        <v>589</v>
      </c>
      <c r="E170" s="201">
        <f>3*1</f>
        <v>3</v>
      </c>
      <c r="F170" s="202">
        <v>0.01</v>
      </c>
      <c r="G170" s="202">
        <f t="shared" si="10"/>
        <v>0.03</v>
      </c>
      <c r="H170" s="203" t="s">
        <v>126</v>
      </c>
      <c r="I170" s="204"/>
      <c r="J170" s="205"/>
      <c r="AN170" s="131">
        <v>4</v>
      </c>
    </row>
    <row r="171" spans="1:40" s="131" customFormat="1" outlineLevel="1" x14ac:dyDescent="0.2">
      <c r="A171" s="195" t="s">
        <v>213</v>
      </c>
      <c r="B171" s="222" t="s">
        <v>926</v>
      </c>
      <c r="C171" s="200" t="s">
        <v>392</v>
      </c>
      <c r="D171" s="201" t="s">
        <v>289</v>
      </c>
      <c r="E171" s="201">
        <f>2*1</f>
        <v>2</v>
      </c>
      <c r="F171" s="202">
        <v>0.01</v>
      </c>
      <c r="G171" s="202">
        <f t="shared" si="10"/>
        <v>0.02</v>
      </c>
      <c r="H171" s="203" t="s">
        <v>126</v>
      </c>
      <c r="I171" s="204"/>
      <c r="J171" s="205"/>
      <c r="AN171" s="131">
        <v>4</v>
      </c>
    </row>
    <row r="172" spans="1:40" s="131" customFormat="1" outlineLevel="1" x14ac:dyDescent="0.2">
      <c r="A172" s="195" t="s">
        <v>213</v>
      </c>
      <c r="B172" s="222" t="s">
        <v>927</v>
      </c>
      <c r="C172" s="200" t="s">
        <v>592</v>
      </c>
      <c r="D172" s="201" t="s">
        <v>287</v>
      </c>
      <c r="E172" s="201">
        <f>1*1</f>
        <v>1</v>
      </c>
      <c r="F172" s="202">
        <v>0.45</v>
      </c>
      <c r="G172" s="202">
        <f t="shared" si="10"/>
        <v>0.45</v>
      </c>
      <c r="H172" s="203" t="s">
        <v>126</v>
      </c>
      <c r="I172" s="204"/>
      <c r="J172" s="205"/>
      <c r="AN172" s="131">
        <v>4</v>
      </c>
    </row>
    <row r="173" spans="1:40" s="131" customFormat="1" outlineLevel="1" x14ac:dyDescent="0.2">
      <c r="A173" s="195" t="s">
        <v>237</v>
      </c>
      <c r="B173" s="218" t="s">
        <v>200</v>
      </c>
      <c r="C173" s="196" t="s">
        <v>593</v>
      </c>
      <c r="D173" s="197" t="s">
        <v>594</v>
      </c>
      <c r="E173" s="197">
        <f>2*1</f>
        <v>2</v>
      </c>
      <c r="F173" s="207"/>
      <c r="G173" s="207" t="str">
        <f>""</f>
        <v/>
      </c>
      <c r="H173" s="195"/>
      <c r="I173" s="198" t="s">
        <v>945</v>
      </c>
      <c r="J173" s="199"/>
      <c r="AN173" s="131">
        <v>3</v>
      </c>
    </row>
    <row r="174" spans="1:40" s="131" customFormat="1" outlineLevel="2" x14ac:dyDescent="0.2">
      <c r="A174" s="195" t="s">
        <v>213</v>
      </c>
      <c r="B174" s="218" t="s">
        <v>595</v>
      </c>
      <c r="C174" s="200" t="s">
        <v>596</v>
      </c>
      <c r="D174" s="201" t="s">
        <v>597</v>
      </c>
      <c r="E174" s="201">
        <f>1*2</f>
        <v>2</v>
      </c>
      <c r="F174" s="202">
        <v>7.0000000000000007E-2</v>
      </c>
      <c r="G174" s="202">
        <f>F174*E174</f>
        <v>0.14000000000000001</v>
      </c>
      <c r="H174" s="203">
        <v>1.4300999999999999</v>
      </c>
      <c r="I174" s="198" t="s">
        <v>945</v>
      </c>
      <c r="J174" s="205"/>
      <c r="AN174" s="131">
        <v>4</v>
      </c>
    </row>
    <row r="175" spans="1:40" s="131" customFormat="1" outlineLevel="2" x14ac:dyDescent="0.2">
      <c r="A175" s="195" t="s">
        <v>213</v>
      </c>
      <c r="B175" s="218" t="s">
        <v>598</v>
      </c>
      <c r="C175" s="200" t="s">
        <v>599</v>
      </c>
      <c r="D175" s="201" t="s">
        <v>600</v>
      </c>
      <c r="E175" s="201">
        <f>1*2</f>
        <v>2</v>
      </c>
      <c r="F175" s="202">
        <v>0.28999999999999998</v>
      </c>
      <c r="G175" s="202">
        <f>F175*E175</f>
        <v>0.57999999999999996</v>
      </c>
      <c r="H175" s="203">
        <v>1.4300999999999999</v>
      </c>
      <c r="I175" s="198" t="s">
        <v>945</v>
      </c>
      <c r="J175" s="205"/>
      <c r="AN175" s="131">
        <v>4</v>
      </c>
    </row>
    <row r="176" spans="1:40" s="131" customFormat="1" outlineLevel="2" x14ac:dyDescent="0.2">
      <c r="A176" s="195" t="s">
        <v>162</v>
      </c>
      <c r="B176" s="218" t="s">
        <v>601</v>
      </c>
      <c r="C176" s="153" t="s">
        <v>602</v>
      </c>
      <c r="D176" s="154" t="s">
        <v>603</v>
      </c>
      <c r="E176" s="154">
        <f>1*2</f>
        <v>2</v>
      </c>
      <c r="F176" s="155">
        <v>0.01</v>
      </c>
      <c r="G176" s="155">
        <f>F176*E176</f>
        <v>0.02</v>
      </c>
      <c r="H176" s="156">
        <v>1.4300999999999999</v>
      </c>
      <c r="I176" s="198" t="s">
        <v>945</v>
      </c>
      <c r="J176" s="158" t="s">
        <v>973</v>
      </c>
      <c r="AN176" s="131">
        <v>4</v>
      </c>
    </row>
    <row r="177" spans="1:40" s="131" customFormat="1" x14ac:dyDescent="0.2">
      <c r="A177" s="195" t="s">
        <v>237</v>
      </c>
      <c r="B177" s="222" t="s">
        <v>192</v>
      </c>
      <c r="C177" s="196" t="s">
        <v>605</v>
      </c>
      <c r="D177" s="197" t="s">
        <v>606</v>
      </c>
      <c r="E177" s="197">
        <v>1</v>
      </c>
      <c r="F177" s="207"/>
      <c r="G177" s="207" t="str">
        <f>""</f>
        <v/>
      </c>
      <c r="H177" s="195"/>
      <c r="I177" s="198"/>
      <c r="J177" s="199"/>
      <c r="AN177" s="131">
        <v>3</v>
      </c>
    </row>
    <row r="178" spans="1:40" s="131" customFormat="1" outlineLevel="1" x14ac:dyDescent="0.2">
      <c r="A178" s="195" t="s">
        <v>213</v>
      </c>
      <c r="B178" s="222" t="s">
        <v>352</v>
      </c>
      <c r="C178" s="200" t="s">
        <v>608</v>
      </c>
      <c r="D178" s="201" t="s">
        <v>609</v>
      </c>
      <c r="E178" s="201">
        <f>1*1</f>
        <v>1</v>
      </c>
      <c r="F178" s="202">
        <v>0.09</v>
      </c>
      <c r="G178" s="202">
        <f t="shared" ref="G178:G225" si="11">F178*E178</f>
        <v>0.09</v>
      </c>
      <c r="H178" s="203" t="s">
        <v>126</v>
      </c>
      <c r="I178" s="204"/>
      <c r="J178" s="205"/>
      <c r="AN178" s="131">
        <v>4</v>
      </c>
    </row>
    <row r="179" spans="1:40" s="131" customFormat="1" outlineLevel="1" x14ac:dyDescent="0.2">
      <c r="A179" s="195" t="s">
        <v>213</v>
      </c>
      <c r="B179" s="222" t="s">
        <v>353</v>
      </c>
      <c r="C179" s="200" t="s">
        <v>611</v>
      </c>
      <c r="D179" s="201" t="s">
        <v>393</v>
      </c>
      <c r="E179" s="201">
        <f>1*1</f>
        <v>1</v>
      </c>
      <c r="F179" s="202">
        <v>0</v>
      </c>
      <c r="G179" s="202">
        <f t="shared" si="11"/>
        <v>0</v>
      </c>
      <c r="H179" s="203" t="s">
        <v>126</v>
      </c>
      <c r="I179" s="204"/>
      <c r="J179" s="205"/>
      <c r="AN179" s="131">
        <v>4</v>
      </c>
    </row>
    <row r="180" spans="1:40" s="131" customFormat="1" outlineLevel="1" x14ac:dyDescent="0.2">
      <c r="A180" s="195" t="s">
        <v>213</v>
      </c>
      <c r="B180" s="222" t="s">
        <v>354</v>
      </c>
      <c r="C180" s="200" t="s">
        <v>613</v>
      </c>
      <c r="D180" s="201" t="s">
        <v>394</v>
      </c>
      <c r="E180" s="201">
        <f>1*1</f>
        <v>1</v>
      </c>
      <c r="F180" s="202">
        <v>0.02</v>
      </c>
      <c r="G180" s="202">
        <f t="shared" si="11"/>
        <v>0.02</v>
      </c>
      <c r="H180" s="203" t="s">
        <v>126</v>
      </c>
      <c r="I180" s="204"/>
      <c r="J180" s="205"/>
      <c r="AN180" s="131">
        <v>4</v>
      </c>
    </row>
    <row r="181" spans="1:40" s="131" customFormat="1" x14ac:dyDescent="0.2">
      <c r="A181" s="195" t="s">
        <v>237</v>
      </c>
      <c r="B181" s="222" t="s">
        <v>192</v>
      </c>
      <c r="C181" s="196" t="s">
        <v>877</v>
      </c>
      <c r="D181" s="197" t="s">
        <v>606</v>
      </c>
      <c r="E181" s="197">
        <v>1</v>
      </c>
      <c r="F181" s="197"/>
      <c r="G181" s="197"/>
      <c r="H181" s="195"/>
      <c r="I181" s="198" t="s">
        <v>864</v>
      </c>
      <c r="J181" s="199"/>
      <c r="AN181" s="131">
        <v>3</v>
      </c>
    </row>
    <row r="182" spans="1:40" s="131" customFormat="1" x14ac:dyDescent="0.2">
      <c r="A182" s="195" t="s">
        <v>213</v>
      </c>
      <c r="B182" s="222" t="s">
        <v>352</v>
      </c>
      <c r="C182" s="200" t="s">
        <v>878</v>
      </c>
      <c r="D182" s="201" t="s">
        <v>609</v>
      </c>
      <c r="E182" s="201">
        <v>1</v>
      </c>
      <c r="F182" s="202">
        <v>0.09</v>
      </c>
      <c r="G182" s="202">
        <f>F182*E182</f>
        <v>0.09</v>
      </c>
      <c r="H182" s="203">
        <v>1.4300999999999999</v>
      </c>
      <c r="I182" s="198" t="s">
        <v>864</v>
      </c>
      <c r="J182" s="205"/>
      <c r="AN182" s="131">
        <v>4</v>
      </c>
    </row>
    <row r="183" spans="1:40" s="131" customFormat="1" x14ac:dyDescent="0.2">
      <c r="A183" s="195" t="s">
        <v>213</v>
      </c>
      <c r="B183" s="222" t="s">
        <v>353</v>
      </c>
      <c r="C183" s="200" t="s">
        <v>879</v>
      </c>
      <c r="D183" s="201" t="s">
        <v>393</v>
      </c>
      <c r="E183" s="201">
        <v>1</v>
      </c>
      <c r="F183" s="202">
        <v>0</v>
      </c>
      <c r="G183" s="202">
        <f>F183*E183</f>
        <v>0</v>
      </c>
      <c r="H183" s="203">
        <v>1.4300999999999999</v>
      </c>
      <c r="I183" s="198" t="s">
        <v>864</v>
      </c>
      <c r="J183" s="205"/>
      <c r="AN183" s="131">
        <v>4</v>
      </c>
    </row>
    <row r="184" spans="1:40" s="131" customFormat="1" x14ac:dyDescent="0.2">
      <c r="A184" s="195" t="s">
        <v>213</v>
      </c>
      <c r="B184" s="222" t="s">
        <v>354</v>
      </c>
      <c r="C184" s="200" t="s">
        <v>880</v>
      </c>
      <c r="D184" s="201" t="s">
        <v>394</v>
      </c>
      <c r="E184" s="201">
        <v>1</v>
      </c>
      <c r="F184" s="202">
        <v>0.02</v>
      </c>
      <c r="G184" s="202">
        <f>F184*E184</f>
        <v>0.02</v>
      </c>
      <c r="H184" s="203">
        <v>1.4300999999999999</v>
      </c>
      <c r="I184" s="198" t="s">
        <v>864</v>
      </c>
      <c r="J184" s="205"/>
      <c r="AN184" s="131">
        <v>4</v>
      </c>
    </row>
    <row r="185" spans="1:40" s="131" customFormat="1" outlineLevel="1" x14ac:dyDescent="0.2">
      <c r="A185" s="195" t="s">
        <v>237</v>
      </c>
      <c r="B185" s="218" t="s">
        <v>204</v>
      </c>
      <c r="C185" s="196" t="s">
        <v>633</v>
      </c>
      <c r="D185" s="197" t="s">
        <v>634</v>
      </c>
      <c r="E185" s="197">
        <f t="shared" ref="E185:E196" si="12">1*1</f>
        <v>1</v>
      </c>
      <c r="F185" s="207"/>
      <c r="G185" s="207" t="str">
        <f>""</f>
        <v/>
      </c>
      <c r="H185" s="195"/>
      <c r="I185" s="198" t="s">
        <v>945</v>
      </c>
      <c r="J185" s="199"/>
      <c r="AN185" s="131">
        <v>3</v>
      </c>
    </row>
    <row r="186" spans="1:40" s="131" customFormat="1" outlineLevel="2" x14ac:dyDescent="0.2">
      <c r="A186" s="195" t="s">
        <v>213</v>
      </c>
      <c r="B186" s="218" t="s">
        <v>635</v>
      </c>
      <c r="C186" s="200" t="s">
        <v>636</v>
      </c>
      <c r="D186" s="201" t="s">
        <v>637</v>
      </c>
      <c r="E186" s="201">
        <f t="shared" si="12"/>
        <v>1</v>
      </c>
      <c r="F186" s="202">
        <v>0.23</v>
      </c>
      <c r="G186" s="202">
        <f>F186*E186</f>
        <v>0.23</v>
      </c>
      <c r="H186" s="203" t="s">
        <v>126</v>
      </c>
      <c r="I186" s="198" t="s">
        <v>945</v>
      </c>
      <c r="J186" s="205"/>
      <c r="AN186" s="131">
        <v>4</v>
      </c>
    </row>
    <row r="187" spans="1:40" s="131" customFormat="1" outlineLevel="2" x14ac:dyDescent="0.2">
      <c r="A187" s="195" t="s">
        <v>213</v>
      </c>
      <c r="B187" s="218" t="s">
        <v>638</v>
      </c>
      <c r="C187" s="200" t="s">
        <v>639</v>
      </c>
      <c r="D187" s="201" t="s">
        <v>640</v>
      </c>
      <c r="E187" s="201">
        <f t="shared" si="12"/>
        <v>1</v>
      </c>
      <c r="F187" s="202">
        <v>0.08</v>
      </c>
      <c r="G187" s="202">
        <f>F187*E187</f>
        <v>0.08</v>
      </c>
      <c r="H187" s="203" t="s">
        <v>126</v>
      </c>
      <c r="I187" s="198" t="s">
        <v>945</v>
      </c>
      <c r="J187" s="205"/>
      <c r="AN187" s="131">
        <v>4</v>
      </c>
    </row>
    <row r="188" spans="1:40" s="131" customFormat="1" outlineLevel="2" x14ac:dyDescent="0.2">
      <c r="A188" s="195" t="s">
        <v>213</v>
      </c>
      <c r="B188" s="218" t="s">
        <v>641</v>
      </c>
      <c r="C188" s="200" t="s">
        <v>642</v>
      </c>
      <c r="D188" s="201" t="s">
        <v>643</v>
      </c>
      <c r="E188" s="201">
        <f t="shared" si="12"/>
        <v>1</v>
      </c>
      <c r="F188" s="202">
        <v>0.08</v>
      </c>
      <c r="G188" s="202">
        <f>F188*E188</f>
        <v>0.08</v>
      </c>
      <c r="H188" s="203" t="s">
        <v>126</v>
      </c>
      <c r="I188" s="198" t="s">
        <v>945</v>
      </c>
      <c r="J188" s="205"/>
      <c r="AN188" s="131">
        <v>4</v>
      </c>
    </row>
    <row r="189" spans="1:40" s="131" customFormat="1" outlineLevel="2" x14ac:dyDescent="0.2">
      <c r="A189" s="195" t="s">
        <v>213</v>
      </c>
      <c r="B189" s="218" t="s">
        <v>644</v>
      </c>
      <c r="C189" s="200" t="s">
        <v>645</v>
      </c>
      <c r="D189" s="201" t="s">
        <v>646</v>
      </c>
      <c r="E189" s="201">
        <f t="shared" si="12"/>
        <v>1</v>
      </c>
      <c r="F189" s="202">
        <v>0.12</v>
      </c>
      <c r="G189" s="202">
        <f>F189*E189</f>
        <v>0.12</v>
      </c>
      <c r="H189" s="203" t="s">
        <v>126</v>
      </c>
      <c r="I189" s="198" t="s">
        <v>945</v>
      </c>
      <c r="J189" s="205"/>
      <c r="AN189" s="131">
        <v>4</v>
      </c>
    </row>
    <row r="190" spans="1:40" s="131" customFormat="1" outlineLevel="2" x14ac:dyDescent="0.2">
      <c r="A190" s="195" t="s">
        <v>213</v>
      </c>
      <c r="B190" s="218" t="s">
        <v>647</v>
      </c>
      <c r="C190" s="200" t="s">
        <v>648</v>
      </c>
      <c r="D190" s="201" t="s">
        <v>649</v>
      </c>
      <c r="E190" s="201">
        <f t="shared" si="12"/>
        <v>1</v>
      </c>
      <c r="F190" s="202">
        <v>0.02</v>
      </c>
      <c r="G190" s="202">
        <f>F190*E190</f>
        <v>0.02</v>
      </c>
      <c r="H190" s="203" t="s">
        <v>126</v>
      </c>
      <c r="I190" s="198" t="s">
        <v>945</v>
      </c>
      <c r="J190" s="205"/>
      <c r="AN190" s="131">
        <v>4</v>
      </c>
    </row>
    <row r="191" spans="1:40" s="131" customFormat="1" outlineLevel="1" x14ac:dyDescent="0.2">
      <c r="A191" s="195" t="s">
        <v>237</v>
      </c>
      <c r="B191" s="218" t="s">
        <v>205</v>
      </c>
      <c r="C191" s="196" t="s">
        <v>650</v>
      </c>
      <c r="D191" s="197" t="s">
        <v>634</v>
      </c>
      <c r="E191" s="197">
        <f t="shared" si="12"/>
        <v>1</v>
      </c>
      <c r="F191" s="207"/>
      <c r="G191" s="207" t="str">
        <f>""</f>
        <v/>
      </c>
      <c r="H191" s="195"/>
      <c r="I191" s="198" t="s">
        <v>945</v>
      </c>
      <c r="J191" s="199"/>
      <c r="AN191" s="131">
        <v>3</v>
      </c>
    </row>
    <row r="192" spans="1:40" s="131" customFormat="1" outlineLevel="2" x14ac:dyDescent="0.2">
      <c r="A192" s="195" t="s">
        <v>213</v>
      </c>
      <c r="B192" s="218" t="s">
        <v>651</v>
      </c>
      <c r="C192" s="200" t="s">
        <v>652</v>
      </c>
      <c r="D192" s="201" t="s">
        <v>637</v>
      </c>
      <c r="E192" s="201">
        <f t="shared" si="12"/>
        <v>1</v>
      </c>
      <c r="F192" s="202">
        <v>0.23</v>
      </c>
      <c r="G192" s="202">
        <f>F192*E192</f>
        <v>0.23</v>
      </c>
      <c r="H192" s="203" t="s">
        <v>126</v>
      </c>
      <c r="I192" s="198" t="s">
        <v>945</v>
      </c>
      <c r="J192" s="205"/>
      <c r="AN192" s="131">
        <v>4</v>
      </c>
    </row>
    <row r="193" spans="1:40" s="131" customFormat="1" outlineLevel="2" x14ac:dyDescent="0.2">
      <c r="A193" s="195" t="s">
        <v>213</v>
      </c>
      <c r="B193" s="218" t="s">
        <v>653</v>
      </c>
      <c r="C193" s="200" t="s">
        <v>639</v>
      </c>
      <c r="D193" s="201" t="s">
        <v>640</v>
      </c>
      <c r="E193" s="201">
        <f t="shared" si="12"/>
        <v>1</v>
      </c>
      <c r="F193" s="202">
        <v>0.08</v>
      </c>
      <c r="G193" s="202">
        <f>F193*E193</f>
        <v>0.08</v>
      </c>
      <c r="H193" s="203" t="s">
        <v>126</v>
      </c>
      <c r="I193" s="198" t="s">
        <v>945</v>
      </c>
      <c r="J193" s="205"/>
      <c r="AN193" s="131">
        <v>4</v>
      </c>
    </row>
    <row r="194" spans="1:40" s="131" customFormat="1" outlineLevel="2" x14ac:dyDescent="0.2">
      <c r="A194" s="195" t="s">
        <v>213</v>
      </c>
      <c r="B194" s="218" t="s">
        <v>654</v>
      </c>
      <c r="C194" s="200" t="s">
        <v>642</v>
      </c>
      <c r="D194" s="201" t="s">
        <v>643</v>
      </c>
      <c r="E194" s="201">
        <f t="shared" si="12"/>
        <v>1</v>
      </c>
      <c r="F194" s="202">
        <v>0.08</v>
      </c>
      <c r="G194" s="202">
        <f>F194*E194</f>
        <v>0.08</v>
      </c>
      <c r="H194" s="203" t="s">
        <v>126</v>
      </c>
      <c r="I194" s="198" t="s">
        <v>945</v>
      </c>
      <c r="J194" s="205"/>
      <c r="AN194" s="131">
        <v>4</v>
      </c>
    </row>
    <row r="195" spans="1:40" s="131" customFormat="1" outlineLevel="2" x14ac:dyDescent="0.2">
      <c r="A195" s="195" t="s">
        <v>213</v>
      </c>
      <c r="B195" s="218" t="s">
        <v>655</v>
      </c>
      <c r="C195" s="200" t="s">
        <v>656</v>
      </c>
      <c r="D195" s="201" t="s">
        <v>646</v>
      </c>
      <c r="E195" s="201">
        <f t="shared" si="12"/>
        <v>1</v>
      </c>
      <c r="F195" s="202">
        <v>0.12</v>
      </c>
      <c r="G195" s="202">
        <f>F195*E195</f>
        <v>0.12</v>
      </c>
      <c r="H195" s="203" t="s">
        <v>126</v>
      </c>
      <c r="I195" s="198" t="s">
        <v>945</v>
      </c>
      <c r="J195" s="205"/>
      <c r="AN195" s="131">
        <v>4</v>
      </c>
    </row>
    <row r="196" spans="1:40" s="131" customFormat="1" outlineLevel="2" x14ac:dyDescent="0.2">
      <c r="A196" s="195" t="s">
        <v>213</v>
      </c>
      <c r="B196" s="218" t="s">
        <v>657</v>
      </c>
      <c r="C196" s="200" t="s">
        <v>648</v>
      </c>
      <c r="D196" s="201" t="s">
        <v>649</v>
      </c>
      <c r="E196" s="201">
        <f t="shared" si="12"/>
        <v>1</v>
      </c>
      <c r="F196" s="202">
        <v>0.02</v>
      </c>
      <c r="G196" s="202">
        <f>F196*E196</f>
        <v>0.02</v>
      </c>
      <c r="H196" s="203" t="s">
        <v>126</v>
      </c>
      <c r="I196" s="198" t="s">
        <v>945</v>
      </c>
      <c r="J196" s="205"/>
      <c r="AN196" s="131">
        <v>4</v>
      </c>
    </row>
    <row r="197" spans="1:40" s="131" customFormat="1" x14ac:dyDescent="0.2">
      <c r="A197" s="195" t="s">
        <v>213</v>
      </c>
      <c r="B197" s="222" t="s">
        <v>193</v>
      </c>
      <c r="C197" s="208" t="s">
        <v>928</v>
      </c>
      <c r="D197" s="206" t="s">
        <v>164</v>
      </c>
      <c r="E197" s="206">
        <v>1</v>
      </c>
      <c r="F197" s="209">
        <v>4.6240870000000003E-2</v>
      </c>
      <c r="G197" s="209">
        <f t="shared" si="11"/>
        <v>4.6240870000000003E-2</v>
      </c>
      <c r="H197" s="210">
        <v>1.4300999999999999</v>
      </c>
      <c r="I197" s="211"/>
      <c r="J197" s="212"/>
      <c r="AN197" s="131">
        <v>3</v>
      </c>
    </row>
    <row r="198" spans="1:40" s="131" customFormat="1" x14ac:dyDescent="0.2">
      <c r="A198" s="195" t="s">
        <v>213</v>
      </c>
      <c r="B198" s="222" t="s">
        <v>194</v>
      </c>
      <c r="C198" s="208" t="s">
        <v>929</v>
      </c>
      <c r="D198" s="206" t="s">
        <v>930</v>
      </c>
      <c r="E198" s="206">
        <v>1</v>
      </c>
      <c r="F198" s="209">
        <v>0.10538092</v>
      </c>
      <c r="G198" s="209">
        <f t="shared" si="11"/>
        <v>0.10538092</v>
      </c>
      <c r="H198" s="210">
        <v>1.4300999999999999</v>
      </c>
      <c r="I198" s="211"/>
      <c r="J198" s="212"/>
      <c r="AN198" s="131">
        <v>3</v>
      </c>
    </row>
    <row r="199" spans="1:40" s="131" customFormat="1" x14ac:dyDescent="0.2">
      <c r="A199" s="195" t="s">
        <v>213</v>
      </c>
      <c r="B199" s="222" t="s">
        <v>195</v>
      </c>
      <c r="C199" s="208" t="s">
        <v>408</v>
      </c>
      <c r="D199" s="206" t="s">
        <v>409</v>
      </c>
      <c r="E199" s="206">
        <v>1</v>
      </c>
      <c r="F199" s="209">
        <v>2.2636400000000001E-2</v>
      </c>
      <c r="G199" s="209">
        <f t="shared" si="11"/>
        <v>2.2636400000000001E-2</v>
      </c>
      <c r="H199" s="210">
        <v>1.4300999999999999</v>
      </c>
      <c r="I199" s="211"/>
      <c r="J199" s="212"/>
      <c r="AN199" s="131">
        <v>3</v>
      </c>
    </row>
    <row r="200" spans="1:40" s="131" customFormat="1" x14ac:dyDescent="0.2">
      <c r="A200" s="195" t="s">
        <v>213</v>
      </c>
      <c r="B200" s="222" t="s">
        <v>196</v>
      </c>
      <c r="C200" s="208" t="s">
        <v>410</v>
      </c>
      <c r="D200" s="206" t="s">
        <v>411</v>
      </c>
      <c r="E200" s="206">
        <v>1</v>
      </c>
      <c r="F200" s="209">
        <v>1.13347E-2</v>
      </c>
      <c r="G200" s="209">
        <f t="shared" si="11"/>
        <v>1.13347E-2</v>
      </c>
      <c r="H200" s="210">
        <v>1.4300999999999999</v>
      </c>
      <c r="I200" s="211"/>
      <c r="J200" s="212"/>
      <c r="AN200" s="131">
        <v>3</v>
      </c>
    </row>
    <row r="201" spans="1:40" s="131" customFormat="1" x14ac:dyDescent="0.2">
      <c r="A201" s="195" t="s">
        <v>213</v>
      </c>
      <c r="B201" s="222" t="s">
        <v>197</v>
      </c>
      <c r="C201" s="208" t="s">
        <v>165</v>
      </c>
      <c r="D201" s="206" t="s">
        <v>166</v>
      </c>
      <c r="E201" s="206">
        <v>1</v>
      </c>
      <c r="F201" s="209">
        <v>1.7792809999999999E-2</v>
      </c>
      <c r="G201" s="209">
        <f t="shared" si="11"/>
        <v>1.7792809999999999E-2</v>
      </c>
      <c r="H201" s="210">
        <v>1.4300999999999999</v>
      </c>
      <c r="I201" s="211"/>
      <c r="J201" s="212"/>
      <c r="AN201" s="131">
        <v>3</v>
      </c>
    </row>
    <row r="202" spans="1:40" s="131" customFormat="1" x14ac:dyDescent="0.2">
      <c r="A202" s="195" t="s">
        <v>213</v>
      </c>
      <c r="B202" s="222" t="s">
        <v>198</v>
      </c>
      <c r="C202" s="208" t="s">
        <v>931</v>
      </c>
      <c r="D202" s="206" t="s">
        <v>932</v>
      </c>
      <c r="E202" s="206">
        <v>2</v>
      </c>
      <c r="F202" s="209">
        <v>7.2167899999999998E-3</v>
      </c>
      <c r="G202" s="209">
        <f t="shared" si="11"/>
        <v>1.443358E-2</v>
      </c>
      <c r="H202" s="210" t="s">
        <v>167</v>
      </c>
      <c r="I202" s="211"/>
      <c r="J202" s="212"/>
      <c r="AN202" s="131">
        <v>3</v>
      </c>
    </row>
    <row r="203" spans="1:40" s="131" customFormat="1" x14ac:dyDescent="0.2">
      <c r="A203" s="195" t="s">
        <v>213</v>
      </c>
      <c r="B203" s="222" t="s">
        <v>199</v>
      </c>
      <c r="C203" s="208" t="s">
        <v>168</v>
      </c>
      <c r="D203" s="206" t="s">
        <v>169</v>
      </c>
      <c r="E203" s="206">
        <v>2</v>
      </c>
      <c r="F203" s="209">
        <v>3.3659599999999999E-3</v>
      </c>
      <c r="G203" s="209">
        <f t="shared" si="11"/>
        <v>6.7319199999999997E-3</v>
      </c>
      <c r="H203" s="210" t="s">
        <v>167</v>
      </c>
      <c r="I203" s="211"/>
      <c r="J203" s="212"/>
      <c r="AN203" s="131">
        <v>3</v>
      </c>
    </row>
    <row r="204" spans="1:40" s="131" customFormat="1" ht="25.5" x14ac:dyDescent="0.2">
      <c r="A204" s="195" t="s">
        <v>213</v>
      </c>
      <c r="B204" s="222" t="s">
        <v>200</v>
      </c>
      <c r="C204" s="153" t="s">
        <v>736</v>
      </c>
      <c r="D204" s="154" t="s">
        <v>933</v>
      </c>
      <c r="E204" s="154">
        <v>1</v>
      </c>
      <c r="F204" s="155">
        <v>0</v>
      </c>
      <c r="G204" s="155">
        <f t="shared" si="11"/>
        <v>0</v>
      </c>
      <c r="H204" s="156"/>
      <c r="I204" s="157"/>
      <c r="J204" s="158" t="s">
        <v>362</v>
      </c>
      <c r="AN204" s="131">
        <v>3</v>
      </c>
    </row>
    <row r="205" spans="1:40" s="131" customFormat="1" ht="25.5" outlineLevel="1" x14ac:dyDescent="0.2">
      <c r="A205" s="195" t="s">
        <v>162</v>
      </c>
      <c r="B205" s="218" t="s">
        <v>741</v>
      </c>
      <c r="C205" s="153"/>
      <c r="D205" s="154" t="s">
        <v>985</v>
      </c>
      <c r="E205" s="154">
        <v>1</v>
      </c>
      <c r="F205" s="155">
        <v>0</v>
      </c>
      <c r="G205" s="155">
        <f t="shared" si="11"/>
        <v>0</v>
      </c>
      <c r="H205" s="156"/>
      <c r="I205" s="157" t="s">
        <v>986</v>
      </c>
      <c r="J205" s="163" t="s">
        <v>362</v>
      </c>
      <c r="AN205" s="131">
        <v>3</v>
      </c>
    </row>
    <row r="206" spans="1:40" s="131" customFormat="1" x14ac:dyDescent="0.2">
      <c r="A206" s="195" t="s">
        <v>213</v>
      </c>
      <c r="B206" s="222" t="s">
        <v>201</v>
      </c>
      <c r="C206" s="153" t="s">
        <v>170</v>
      </c>
      <c r="D206" s="154" t="s">
        <v>171</v>
      </c>
      <c r="E206" s="154">
        <v>1</v>
      </c>
      <c r="F206" s="155">
        <v>0.17219482</v>
      </c>
      <c r="G206" s="155">
        <f t="shared" si="11"/>
        <v>0.17219482</v>
      </c>
      <c r="H206" s="156"/>
      <c r="I206" s="157"/>
      <c r="J206" s="158" t="s">
        <v>965</v>
      </c>
      <c r="AN206" s="131">
        <v>3</v>
      </c>
    </row>
    <row r="207" spans="1:40" s="131" customFormat="1" x14ac:dyDescent="0.2">
      <c r="A207" s="195" t="s">
        <v>213</v>
      </c>
      <c r="B207" s="222" t="s">
        <v>202</v>
      </c>
      <c r="C207" s="153">
        <v>29771</v>
      </c>
      <c r="D207" s="154" t="s">
        <v>748</v>
      </c>
      <c r="E207" s="154">
        <v>2</v>
      </c>
      <c r="F207" s="155">
        <v>0.1</v>
      </c>
      <c r="G207" s="155">
        <f t="shared" si="11"/>
        <v>0.2</v>
      </c>
      <c r="H207" s="156"/>
      <c r="I207" s="157"/>
      <c r="J207" s="158"/>
      <c r="AN207" s="131">
        <v>3</v>
      </c>
    </row>
    <row r="208" spans="1:40" s="131" customFormat="1" x14ac:dyDescent="0.2">
      <c r="A208" s="195" t="s">
        <v>213</v>
      </c>
      <c r="B208" s="222" t="s">
        <v>203</v>
      </c>
      <c r="C208" s="153" t="s">
        <v>757</v>
      </c>
      <c r="D208" s="154" t="s">
        <v>758</v>
      </c>
      <c r="E208" s="154">
        <v>2</v>
      </c>
      <c r="F208" s="155">
        <v>4.82666E-3</v>
      </c>
      <c r="G208" s="155">
        <f t="shared" si="11"/>
        <v>9.65332E-3</v>
      </c>
      <c r="H208" s="156"/>
      <c r="I208" s="157"/>
      <c r="J208" s="158" t="s">
        <v>964</v>
      </c>
      <c r="AN208" s="131">
        <v>3</v>
      </c>
    </row>
    <row r="209" spans="1:40" s="131" customFormat="1" x14ac:dyDescent="0.2">
      <c r="A209" s="195" t="s">
        <v>213</v>
      </c>
      <c r="B209" s="222" t="s">
        <v>204</v>
      </c>
      <c r="C209" s="153" t="s">
        <v>172</v>
      </c>
      <c r="D209" s="154" t="s">
        <v>173</v>
      </c>
      <c r="E209" s="154">
        <v>15</v>
      </c>
      <c r="F209" s="155">
        <v>6.1737000000000001E-4</v>
      </c>
      <c r="G209" s="155">
        <f t="shared" si="11"/>
        <v>9.2605499999999993E-3</v>
      </c>
      <c r="H209" s="156"/>
      <c r="I209" s="157"/>
      <c r="J209" s="158"/>
      <c r="AN209" s="131">
        <v>3</v>
      </c>
    </row>
    <row r="210" spans="1:40" s="131" customFormat="1" x14ac:dyDescent="0.2">
      <c r="A210" s="195" t="s">
        <v>213</v>
      </c>
      <c r="B210" s="222" t="s">
        <v>205</v>
      </c>
      <c r="C210" s="153" t="s">
        <v>946</v>
      </c>
      <c r="D210" s="154" t="s">
        <v>947</v>
      </c>
      <c r="E210" s="154">
        <v>8</v>
      </c>
      <c r="F210" s="155">
        <v>2.8051999999999998E-4</v>
      </c>
      <c r="G210" s="155">
        <f>F210*E210</f>
        <v>2.2441599999999998E-3</v>
      </c>
      <c r="H210" s="156"/>
      <c r="I210" s="157" t="s">
        <v>948</v>
      </c>
      <c r="J210" s="158"/>
      <c r="AN210" s="131">
        <v>3</v>
      </c>
    </row>
    <row r="211" spans="1:40" s="131" customFormat="1" x14ac:dyDescent="0.2">
      <c r="A211" s="195" t="s">
        <v>213</v>
      </c>
      <c r="B211" s="222" t="s">
        <v>206</v>
      </c>
      <c r="C211" s="153" t="s">
        <v>934</v>
      </c>
      <c r="D211" s="154" t="s">
        <v>935</v>
      </c>
      <c r="E211" s="154">
        <v>2</v>
      </c>
      <c r="F211" s="155">
        <v>2.4437460000000001E-2</v>
      </c>
      <c r="G211" s="155">
        <f t="shared" si="11"/>
        <v>4.8874920000000002E-2</v>
      </c>
      <c r="H211" s="156"/>
      <c r="I211" s="157"/>
      <c r="J211" s="158" t="s">
        <v>973</v>
      </c>
      <c r="AN211" s="131">
        <v>3</v>
      </c>
    </row>
    <row r="212" spans="1:40" s="131" customFormat="1" x14ac:dyDescent="0.2">
      <c r="A212" s="195" t="s">
        <v>213</v>
      </c>
      <c r="B212" s="222" t="s">
        <v>207</v>
      </c>
      <c r="C212" s="153" t="s">
        <v>138</v>
      </c>
      <c r="D212" s="154" t="s">
        <v>139</v>
      </c>
      <c r="E212" s="154">
        <v>1</v>
      </c>
      <c r="F212" s="155">
        <v>1.469064E-2</v>
      </c>
      <c r="G212" s="155">
        <f t="shared" si="11"/>
        <v>1.469064E-2</v>
      </c>
      <c r="H212" s="156"/>
      <c r="I212" s="157"/>
      <c r="J212" s="158" t="s">
        <v>964</v>
      </c>
      <c r="AN212" s="131">
        <v>3</v>
      </c>
    </row>
    <row r="213" spans="1:40" s="131" customFormat="1" x14ac:dyDescent="0.2">
      <c r="A213" s="195" t="s">
        <v>213</v>
      </c>
      <c r="B213" s="222" t="s">
        <v>208</v>
      </c>
      <c r="C213" s="153" t="s">
        <v>174</v>
      </c>
      <c r="D213" s="154" t="s">
        <v>175</v>
      </c>
      <c r="E213" s="154">
        <v>2</v>
      </c>
      <c r="F213" s="155">
        <v>2.1626999999999999E-4</v>
      </c>
      <c r="G213" s="155">
        <f t="shared" si="11"/>
        <v>4.3253999999999998E-4</v>
      </c>
      <c r="H213" s="156"/>
      <c r="I213" s="157"/>
      <c r="J213" s="158" t="s">
        <v>966</v>
      </c>
      <c r="AN213" s="131">
        <v>3</v>
      </c>
    </row>
    <row r="214" spans="1:40" s="131" customFormat="1" x14ac:dyDescent="0.2">
      <c r="A214" s="195" t="s">
        <v>213</v>
      </c>
      <c r="B214" s="222" t="s">
        <v>209</v>
      </c>
      <c r="C214" s="153" t="s">
        <v>176</v>
      </c>
      <c r="D214" s="154" t="s">
        <v>177</v>
      </c>
      <c r="E214" s="154">
        <v>4</v>
      </c>
      <c r="F214" s="155">
        <v>3.0109000000000001E-4</v>
      </c>
      <c r="G214" s="155">
        <f t="shared" si="11"/>
        <v>1.20436E-3</v>
      </c>
      <c r="H214" s="156"/>
      <c r="I214" s="157"/>
      <c r="J214" s="158" t="s">
        <v>966</v>
      </c>
      <c r="AN214" s="131">
        <v>3</v>
      </c>
    </row>
    <row r="215" spans="1:40" s="131" customFormat="1" x14ac:dyDescent="0.2">
      <c r="A215" s="195" t="s">
        <v>213</v>
      </c>
      <c r="B215" s="222" t="s">
        <v>210</v>
      </c>
      <c r="C215" s="153" t="s">
        <v>178</v>
      </c>
      <c r="D215" s="154" t="s">
        <v>179</v>
      </c>
      <c r="E215" s="154">
        <v>2</v>
      </c>
      <c r="F215" s="155">
        <v>1.6556000000000001E-4</v>
      </c>
      <c r="G215" s="155">
        <f t="shared" si="11"/>
        <v>3.3112000000000001E-4</v>
      </c>
      <c r="H215" s="156"/>
      <c r="I215" s="157"/>
      <c r="J215" s="158" t="s">
        <v>966</v>
      </c>
      <c r="AN215" s="131">
        <v>3</v>
      </c>
    </row>
    <row r="216" spans="1:40" s="131" customFormat="1" x14ac:dyDescent="0.2">
      <c r="A216" s="195" t="s">
        <v>162</v>
      </c>
      <c r="B216" s="222" t="s">
        <v>211</v>
      </c>
      <c r="C216" s="153" t="s">
        <v>180</v>
      </c>
      <c r="D216" s="154" t="s">
        <v>181</v>
      </c>
      <c r="E216" s="154">
        <v>8</v>
      </c>
      <c r="F216" s="155">
        <v>2.7349999999999998E-4</v>
      </c>
      <c r="G216" s="155">
        <f t="shared" si="11"/>
        <v>2.1879999999999998E-3</v>
      </c>
      <c r="H216" s="156"/>
      <c r="I216" s="157"/>
      <c r="J216" s="158"/>
      <c r="AN216" s="131">
        <v>3</v>
      </c>
    </row>
    <row r="217" spans="1:40" s="131" customFormat="1" outlineLevel="1" x14ac:dyDescent="0.2">
      <c r="A217" s="195" t="s">
        <v>162</v>
      </c>
      <c r="B217" s="218" t="s">
        <v>789</v>
      </c>
      <c r="C217" s="153" t="s">
        <v>142</v>
      </c>
      <c r="D217" s="154" t="s">
        <v>790</v>
      </c>
      <c r="E217" s="154">
        <f>4*1</f>
        <v>4</v>
      </c>
      <c r="F217" s="155">
        <v>0.02</v>
      </c>
      <c r="G217" s="155">
        <f t="shared" si="11"/>
        <v>0.08</v>
      </c>
      <c r="H217" s="156"/>
      <c r="I217" s="157" t="s">
        <v>945</v>
      </c>
      <c r="J217" s="158"/>
      <c r="AN217" s="131">
        <v>3</v>
      </c>
    </row>
    <row r="218" spans="1:40" s="131" customFormat="1" x14ac:dyDescent="0.2">
      <c r="A218" s="195" t="s">
        <v>162</v>
      </c>
      <c r="B218" s="222" t="s">
        <v>212</v>
      </c>
      <c r="C218" s="153" t="s">
        <v>182</v>
      </c>
      <c r="D218" s="154" t="s">
        <v>936</v>
      </c>
      <c r="E218" s="154">
        <v>15</v>
      </c>
      <c r="F218" s="155">
        <v>5.1694100000000002E-3</v>
      </c>
      <c r="G218" s="155">
        <f t="shared" si="11"/>
        <v>7.7541150000000003E-2</v>
      </c>
      <c r="H218" s="156"/>
      <c r="I218" s="157" t="s">
        <v>948</v>
      </c>
      <c r="J218" s="158"/>
      <c r="AN218" s="131">
        <v>3</v>
      </c>
    </row>
    <row r="219" spans="1:40" s="131" customFormat="1" x14ac:dyDescent="0.2">
      <c r="A219" s="195" t="s">
        <v>162</v>
      </c>
      <c r="B219" s="222" t="s">
        <v>212</v>
      </c>
      <c r="C219" s="153" t="s">
        <v>182</v>
      </c>
      <c r="D219" s="154" t="s">
        <v>936</v>
      </c>
      <c r="E219" s="154">
        <v>23</v>
      </c>
      <c r="F219" s="155">
        <v>5.1694100000000002E-3</v>
      </c>
      <c r="G219" s="155">
        <f t="shared" ref="G219" si="13">F219*E219</f>
        <v>0.11889643</v>
      </c>
      <c r="H219" s="156"/>
      <c r="I219" s="157" t="s">
        <v>945</v>
      </c>
      <c r="J219" s="158"/>
      <c r="AN219" s="131">
        <v>3</v>
      </c>
    </row>
    <row r="220" spans="1:40" s="131" customFormat="1" x14ac:dyDescent="0.2">
      <c r="A220" s="195" t="s">
        <v>162</v>
      </c>
      <c r="B220" s="222" t="s">
        <v>357</v>
      </c>
      <c r="C220" s="153" t="s">
        <v>214</v>
      </c>
      <c r="D220" s="154" t="s">
        <v>215</v>
      </c>
      <c r="E220" s="154">
        <v>4</v>
      </c>
      <c r="F220" s="155">
        <v>4.1859100000000002E-3</v>
      </c>
      <c r="G220" s="155">
        <f t="shared" si="11"/>
        <v>1.6743640000000001E-2</v>
      </c>
      <c r="H220" s="156"/>
      <c r="I220" s="157"/>
      <c r="J220" s="158"/>
      <c r="AN220" s="131">
        <v>3</v>
      </c>
    </row>
    <row r="221" spans="1:40" s="131" customFormat="1" x14ac:dyDescent="0.2">
      <c r="A221" s="195" t="s">
        <v>162</v>
      </c>
      <c r="B221" s="222" t="s">
        <v>415</v>
      </c>
      <c r="C221" s="153" t="s">
        <v>780</v>
      </c>
      <c r="D221" s="154" t="s">
        <v>781</v>
      </c>
      <c r="E221" s="154">
        <v>8</v>
      </c>
      <c r="F221" s="155">
        <v>2.0060999999999999E-4</v>
      </c>
      <c r="G221" s="155">
        <f t="shared" si="11"/>
        <v>1.6048799999999999E-3</v>
      </c>
      <c r="H221" s="156"/>
      <c r="I221" s="157"/>
      <c r="J221" s="158"/>
      <c r="AN221" s="131">
        <v>3</v>
      </c>
    </row>
    <row r="222" spans="1:40" s="131" customFormat="1" x14ac:dyDescent="0.2">
      <c r="A222" s="195" t="s">
        <v>162</v>
      </c>
      <c r="B222" s="222" t="s">
        <v>416</v>
      </c>
      <c r="C222" s="153" t="s">
        <v>185</v>
      </c>
      <c r="D222" s="154" t="s">
        <v>186</v>
      </c>
      <c r="E222" s="154">
        <v>2</v>
      </c>
      <c r="F222" s="155">
        <v>3.3479199999999999E-3</v>
      </c>
      <c r="G222" s="155">
        <f t="shared" si="11"/>
        <v>6.6958399999999998E-3</v>
      </c>
      <c r="H222" s="156"/>
      <c r="I222" s="157"/>
      <c r="J222" s="158"/>
      <c r="AN222" s="131">
        <v>3</v>
      </c>
    </row>
    <row r="223" spans="1:40" s="131" customFormat="1" outlineLevel="1" x14ac:dyDescent="0.2">
      <c r="A223" s="195" t="s">
        <v>162</v>
      </c>
      <c r="B223" s="218" t="s">
        <v>795</v>
      </c>
      <c r="C223" s="153" t="s">
        <v>148</v>
      </c>
      <c r="D223" s="154" t="s">
        <v>796</v>
      </c>
      <c r="E223" s="154">
        <f>4*1</f>
        <v>4</v>
      </c>
      <c r="F223" s="155">
        <v>0.01</v>
      </c>
      <c r="G223" s="155">
        <f t="shared" si="11"/>
        <v>0.04</v>
      </c>
      <c r="H223" s="156"/>
      <c r="I223" s="157" t="s">
        <v>945</v>
      </c>
      <c r="J223" s="158"/>
      <c r="AN223" s="131">
        <v>3</v>
      </c>
    </row>
    <row r="224" spans="1:40" s="131" customFormat="1" outlineLevel="1" x14ac:dyDescent="0.2">
      <c r="A224" s="195" t="s">
        <v>162</v>
      </c>
      <c r="B224" s="218" t="s">
        <v>797</v>
      </c>
      <c r="C224" s="153" t="s">
        <v>153</v>
      </c>
      <c r="D224" s="154" t="s">
        <v>154</v>
      </c>
      <c r="E224" s="154">
        <f>4*1</f>
        <v>4</v>
      </c>
      <c r="F224" s="155">
        <v>0</v>
      </c>
      <c r="G224" s="155">
        <f t="shared" si="11"/>
        <v>0</v>
      </c>
      <c r="H224" s="156"/>
      <c r="I224" s="157" t="s">
        <v>945</v>
      </c>
      <c r="J224" s="158"/>
      <c r="AN224" s="131">
        <v>3</v>
      </c>
    </row>
    <row r="225" spans="1:40" s="131" customFormat="1" x14ac:dyDescent="0.2">
      <c r="A225" s="195" t="s">
        <v>162</v>
      </c>
      <c r="B225" s="222" t="s">
        <v>685</v>
      </c>
      <c r="C225" s="153" t="s">
        <v>153</v>
      </c>
      <c r="D225" s="154" t="s">
        <v>187</v>
      </c>
      <c r="E225" s="154">
        <v>15</v>
      </c>
      <c r="F225" s="155">
        <v>4.9306000000000003E-4</v>
      </c>
      <c r="G225" s="155">
        <f t="shared" si="11"/>
        <v>7.3959000000000004E-3</v>
      </c>
      <c r="H225" s="156"/>
      <c r="I225" s="157" t="s">
        <v>948</v>
      </c>
      <c r="J225" s="158"/>
      <c r="AN225" s="131">
        <v>3</v>
      </c>
    </row>
    <row r="226" spans="1:40" s="131" customFormat="1" x14ac:dyDescent="0.2">
      <c r="A226" s="195" t="s">
        <v>162</v>
      </c>
      <c r="B226" s="222" t="s">
        <v>685</v>
      </c>
      <c r="C226" s="153" t="s">
        <v>153</v>
      </c>
      <c r="D226" s="154" t="s">
        <v>187</v>
      </c>
      <c r="E226" s="154">
        <v>23</v>
      </c>
      <c r="F226" s="155">
        <v>4.9306000000000003E-4</v>
      </c>
      <c r="G226" s="155">
        <f t="shared" ref="G226" si="14">F226*E226</f>
        <v>1.1340380000000001E-2</v>
      </c>
      <c r="H226" s="156"/>
      <c r="I226" s="157" t="s">
        <v>945</v>
      </c>
      <c r="J226" s="158"/>
      <c r="AN226" s="131">
        <v>3</v>
      </c>
    </row>
    <row r="227" spans="1:40" s="131" customFormat="1" x14ac:dyDescent="0.2">
      <c r="A227" s="195" t="s">
        <v>213</v>
      </c>
      <c r="B227" s="218" t="s">
        <v>97</v>
      </c>
      <c r="C227" s="208" t="s">
        <v>799</v>
      </c>
      <c r="D227" s="206" t="s">
        <v>127</v>
      </c>
      <c r="E227" s="206">
        <v>1</v>
      </c>
      <c r="F227" s="209">
        <v>0.61</v>
      </c>
      <c r="G227" s="209">
        <f t="shared" ref="G227:G229" si="15">F227*E227</f>
        <v>0.61</v>
      </c>
      <c r="H227" s="210" t="s">
        <v>126</v>
      </c>
      <c r="I227" s="211"/>
      <c r="J227" s="212"/>
      <c r="AN227" s="131">
        <v>2</v>
      </c>
    </row>
    <row r="228" spans="1:40" s="131" customFormat="1" x14ac:dyDescent="0.2">
      <c r="A228" s="195" t="s">
        <v>213</v>
      </c>
      <c r="B228" s="218" t="s">
        <v>98</v>
      </c>
      <c r="C228" s="208" t="s">
        <v>800</v>
      </c>
      <c r="D228" s="206" t="s">
        <v>801</v>
      </c>
      <c r="E228" s="206">
        <v>1</v>
      </c>
      <c r="F228" s="209">
        <v>2.42</v>
      </c>
      <c r="G228" s="209">
        <f t="shared" si="15"/>
        <v>2.42</v>
      </c>
      <c r="H228" s="210" t="s">
        <v>126</v>
      </c>
      <c r="I228" s="211"/>
      <c r="J228" s="212"/>
      <c r="AN228" s="131">
        <v>2</v>
      </c>
    </row>
    <row r="229" spans="1:40" s="131" customFormat="1" x14ac:dyDescent="0.2">
      <c r="A229" s="195" t="s">
        <v>213</v>
      </c>
      <c r="B229" s="218" t="s">
        <v>99</v>
      </c>
      <c r="C229" s="208" t="s">
        <v>802</v>
      </c>
      <c r="D229" s="206" t="s">
        <v>355</v>
      </c>
      <c r="E229" s="206">
        <v>1</v>
      </c>
      <c r="F229" s="209">
        <v>0.56999999999999995</v>
      </c>
      <c r="G229" s="209">
        <f t="shared" si="15"/>
        <v>0.56999999999999995</v>
      </c>
      <c r="H229" s="210" t="s">
        <v>126</v>
      </c>
      <c r="I229" s="211"/>
      <c r="J229" s="212"/>
      <c r="AN229" s="131">
        <v>2</v>
      </c>
    </row>
    <row r="230" spans="1:40" s="131" customFormat="1" x14ac:dyDescent="0.2">
      <c r="A230" s="195" t="s">
        <v>237</v>
      </c>
      <c r="B230" s="218" t="s">
        <v>100</v>
      </c>
      <c r="C230" s="196" t="s">
        <v>803</v>
      </c>
      <c r="D230" s="197" t="s">
        <v>804</v>
      </c>
      <c r="E230" s="197">
        <v>1</v>
      </c>
      <c r="F230" s="207"/>
      <c r="G230" s="207" t="str">
        <f>""</f>
        <v/>
      </c>
      <c r="H230" s="195"/>
      <c r="I230" s="198" t="s">
        <v>847</v>
      </c>
      <c r="J230" s="199"/>
      <c r="AN230" s="131">
        <v>2</v>
      </c>
    </row>
    <row r="231" spans="1:40" s="131" customFormat="1" outlineLevel="1" x14ac:dyDescent="0.2">
      <c r="A231" s="195" t="s">
        <v>213</v>
      </c>
      <c r="B231" s="218" t="s">
        <v>805</v>
      </c>
      <c r="C231" s="200" t="s">
        <v>806</v>
      </c>
      <c r="D231" s="201" t="s">
        <v>807</v>
      </c>
      <c r="E231" s="201">
        <f>2*1</f>
        <v>2</v>
      </c>
      <c r="F231" s="202">
        <v>0.06</v>
      </c>
      <c r="G231" s="202">
        <f t="shared" ref="G231:G267" si="16">F231*E231</f>
        <v>0.12</v>
      </c>
      <c r="H231" s="203" t="s">
        <v>126</v>
      </c>
      <c r="I231" s="198" t="s">
        <v>847</v>
      </c>
      <c r="J231" s="205"/>
      <c r="AN231" s="131">
        <v>3</v>
      </c>
    </row>
    <row r="232" spans="1:40" s="131" customFormat="1" outlineLevel="1" x14ac:dyDescent="0.2">
      <c r="A232" s="195" t="s">
        <v>213</v>
      </c>
      <c r="B232" s="218" t="s">
        <v>808</v>
      </c>
      <c r="C232" s="200" t="s">
        <v>809</v>
      </c>
      <c r="D232" s="201" t="s">
        <v>810</v>
      </c>
      <c r="E232" s="201">
        <f>1*1</f>
        <v>1</v>
      </c>
      <c r="F232" s="202">
        <v>0.68</v>
      </c>
      <c r="G232" s="202">
        <f t="shared" si="16"/>
        <v>0.68</v>
      </c>
      <c r="H232" s="203" t="s">
        <v>126</v>
      </c>
      <c r="I232" s="198" t="s">
        <v>847</v>
      </c>
      <c r="J232" s="205"/>
      <c r="AN232" s="131">
        <v>3</v>
      </c>
    </row>
    <row r="233" spans="1:40" s="131" customFormat="1" x14ac:dyDescent="0.2">
      <c r="A233" s="195" t="s">
        <v>237</v>
      </c>
      <c r="B233" s="222" t="s">
        <v>100</v>
      </c>
      <c r="C233" s="196" t="s">
        <v>868</v>
      </c>
      <c r="D233" s="197" t="s">
        <v>804</v>
      </c>
      <c r="E233" s="197">
        <v>1</v>
      </c>
      <c r="F233" s="197"/>
      <c r="G233" s="197"/>
      <c r="H233" s="195"/>
      <c r="I233" s="198" t="s">
        <v>871</v>
      </c>
      <c r="J233" s="199"/>
      <c r="AN233" s="131">
        <v>2</v>
      </c>
    </row>
    <row r="234" spans="1:40" s="131" customFormat="1" x14ac:dyDescent="0.2">
      <c r="A234" s="195" t="s">
        <v>213</v>
      </c>
      <c r="B234" s="222" t="s">
        <v>805</v>
      </c>
      <c r="C234" s="200" t="s">
        <v>869</v>
      </c>
      <c r="D234" s="201" t="s">
        <v>807</v>
      </c>
      <c r="E234" s="201">
        <v>2</v>
      </c>
      <c r="F234" s="202">
        <v>0.06</v>
      </c>
      <c r="G234" s="202">
        <f>F234*E234</f>
        <v>0.12</v>
      </c>
      <c r="H234" s="203">
        <v>1.4300999999999999</v>
      </c>
      <c r="I234" s="198" t="s">
        <v>871</v>
      </c>
      <c r="J234" s="205"/>
      <c r="AN234" s="131">
        <v>3</v>
      </c>
    </row>
    <row r="235" spans="1:40" s="131" customFormat="1" x14ac:dyDescent="0.2">
      <c r="A235" s="195" t="s">
        <v>213</v>
      </c>
      <c r="B235" s="222" t="s">
        <v>808</v>
      </c>
      <c r="C235" s="200" t="s">
        <v>870</v>
      </c>
      <c r="D235" s="201" t="s">
        <v>810</v>
      </c>
      <c r="E235" s="201">
        <v>1</v>
      </c>
      <c r="F235" s="202">
        <v>0.7</v>
      </c>
      <c r="G235" s="202">
        <f>F235*E235</f>
        <v>0.7</v>
      </c>
      <c r="H235" s="203">
        <v>1.4300999999999999</v>
      </c>
      <c r="I235" s="198" t="s">
        <v>871</v>
      </c>
      <c r="J235" s="205"/>
      <c r="AN235" s="131">
        <v>3</v>
      </c>
    </row>
    <row r="236" spans="1:40" s="131" customFormat="1" x14ac:dyDescent="0.2">
      <c r="A236" s="195" t="s">
        <v>213</v>
      </c>
      <c r="B236" s="218" t="s">
        <v>101</v>
      </c>
      <c r="C236" s="208" t="s">
        <v>811</v>
      </c>
      <c r="D236" s="206" t="s">
        <v>812</v>
      </c>
      <c r="E236" s="206">
        <v>1</v>
      </c>
      <c r="F236" s="209">
        <v>0.03</v>
      </c>
      <c r="G236" s="209">
        <f t="shared" si="16"/>
        <v>0.03</v>
      </c>
      <c r="H236" s="210">
        <v>1.4300999999999999</v>
      </c>
      <c r="I236" s="211"/>
      <c r="J236" s="212"/>
      <c r="AN236" s="131">
        <v>2</v>
      </c>
    </row>
    <row r="237" spans="1:40" s="131" customFormat="1" x14ac:dyDescent="0.2">
      <c r="A237" s="195" t="s">
        <v>213</v>
      </c>
      <c r="B237" s="218" t="s">
        <v>103</v>
      </c>
      <c r="C237" s="208" t="s">
        <v>813</v>
      </c>
      <c r="D237" s="206" t="s">
        <v>814</v>
      </c>
      <c r="E237" s="206">
        <v>1</v>
      </c>
      <c r="F237" s="209">
        <v>0.03</v>
      </c>
      <c r="G237" s="209">
        <f t="shared" si="16"/>
        <v>0.03</v>
      </c>
      <c r="H237" s="210">
        <v>1.4300999999999999</v>
      </c>
      <c r="I237" s="211"/>
      <c r="J237" s="212"/>
      <c r="AN237" s="131">
        <v>2</v>
      </c>
    </row>
    <row r="238" spans="1:40" s="131" customFormat="1" x14ac:dyDescent="0.2">
      <c r="A238" s="195" t="s">
        <v>162</v>
      </c>
      <c r="B238" s="218" t="s">
        <v>104</v>
      </c>
      <c r="C238" s="153" t="s">
        <v>815</v>
      </c>
      <c r="D238" s="154" t="s">
        <v>816</v>
      </c>
      <c r="E238" s="154">
        <v>1</v>
      </c>
      <c r="F238" s="155">
        <v>1.79</v>
      </c>
      <c r="G238" s="155">
        <f t="shared" si="16"/>
        <v>1.79</v>
      </c>
      <c r="H238" s="156"/>
      <c r="I238" s="157"/>
      <c r="J238" s="237" t="s">
        <v>273</v>
      </c>
      <c r="AN238" s="131">
        <v>2</v>
      </c>
    </row>
    <row r="239" spans="1:40" s="131" customFormat="1" x14ac:dyDescent="0.2">
      <c r="A239" s="195" t="s">
        <v>162</v>
      </c>
      <c r="B239" s="218" t="s">
        <v>106</v>
      </c>
      <c r="C239" s="153">
        <v>74296</v>
      </c>
      <c r="D239" s="154" t="s">
        <v>128</v>
      </c>
      <c r="E239" s="154">
        <v>1</v>
      </c>
      <c r="F239" s="155">
        <v>0.05</v>
      </c>
      <c r="G239" s="155">
        <f t="shared" si="16"/>
        <v>0.05</v>
      </c>
      <c r="H239" s="156"/>
      <c r="I239" s="198" t="s">
        <v>844</v>
      </c>
      <c r="J239" s="237" t="s">
        <v>273</v>
      </c>
      <c r="AN239" s="131">
        <v>2</v>
      </c>
    </row>
    <row r="240" spans="1:40" s="131" customFormat="1" x14ac:dyDescent="0.2">
      <c r="A240" s="195" t="s">
        <v>162</v>
      </c>
      <c r="B240" s="218" t="s">
        <v>107</v>
      </c>
      <c r="C240" s="153">
        <v>74297</v>
      </c>
      <c r="D240" s="154" t="s">
        <v>129</v>
      </c>
      <c r="E240" s="154">
        <v>1</v>
      </c>
      <c r="F240" s="155">
        <v>0.05</v>
      </c>
      <c r="G240" s="155">
        <f t="shared" si="16"/>
        <v>0.05</v>
      </c>
      <c r="H240" s="156"/>
      <c r="I240" s="198" t="s">
        <v>844</v>
      </c>
      <c r="J240" s="237" t="s">
        <v>273</v>
      </c>
      <c r="AN240" s="131">
        <v>2</v>
      </c>
    </row>
    <row r="241" spans="1:40" s="131" customFormat="1" x14ac:dyDescent="0.2">
      <c r="A241" s="195" t="s">
        <v>162</v>
      </c>
      <c r="B241" s="218" t="s">
        <v>108</v>
      </c>
      <c r="C241" s="153" t="s">
        <v>818</v>
      </c>
      <c r="D241" s="154" t="s">
        <v>819</v>
      </c>
      <c r="E241" s="154">
        <v>1</v>
      </c>
      <c r="F241" s="155">
        <v>0.1</v>
      </c>
      <c r="G241" s="155">
        <f t="shared" si="16"/>
        <v>0.1</v>
      </c>
      <c r="H241" s="156"/>
      <c r="I241" s="157" t="s">
        <v>848</v>
      </c>
      <c r="J241" s="158" t="s">
        <v>968</v>
      </c>
      <c r="AN241" s="131">
        <v>2</v>
      </c>
    </row>
    <row r="242" spans="1:40" s="131" customFormat="1" x14ac:dyDescent="0.2">
      <c r="A242" s="195" t="s">
        <v>162</v>
      </c>
      <c r="B242" s="218" t="s">
        <v>109</v>
      </c>
      <c r="C242" s="153" t="s">
        <v>130</v>
      </c>
      <c r="D242" s="154" t="s">
        <v>131</v>
      </c>
      <c r="E242" s="154">
        <v>2</v>
      </c>
      <c r="F242" s="155">
        <v>0</v>
      </c>
      <c r="G242" s="155">
        <f t="shared" si="16"/>
        <v>0</v>
      </c>
      <c r="H242" s="156"/>
      <c r="I242" s="157"/>
      <c r="J242" s="158"/>
      <c r="AN242" s="131">
        <v>2</v>
      </c>
    </row>
    <row r="243" spans="1:40" s="131" customFormat="1" x14ac:dyDescent="0.2">
      <c r="A243" s="195" t="s">
        <v>162</v>
      </c>
      <c r="B243" s="218" t="s">
        <v>110</v>
      </c>
      <c r="C243" s="153" t="s">
        <v>820</v>
      </c>
      <c r="D243" s="154" t="s">
        <v>136</v>
      </c>
      <c r="E243" s="154">
        <v>4</v>
      </c>
      <c r="F243" s="155">
        <v>0</v>
      </c>
      <c r="G243" s="155">
        <f t="shared" si="16"/>
        <v>0</v>
      </c>
      <c r="H243" s="156"/>
      <c r="I243" s="157"/>
      <c r="J243" s="158" t="s">
        <v>969</v>
      </c>
      <c r="AN243" s="131">
        <v>2</v>
      </c>
    </row>
    <row r="244" spans="1:40" s="131" customFormat="1" x14ac:dyDescent="0.2">
      <c r="A244" s="195" t="s">
        <v>162</v>
      </c>
      <c r="B244" s="218" t="s">
        <v>111</v>
      </c>
      <c r="C244" s="153" t="s">
        <v>132</v>
      </c>
      <c r="D244" s="154" t="s">
        <v>133</v>
      </c>
      <c r="E244" s="154">
        <v>8</v>
      </c>
      <c r="F244" s="155">
        <v>0</v>
      </c>
      <c r="G244" s="155">
        <f t="shared" si="16"/>
        <v>0</v>
      </c>
      <c r="H244" s="156"/>
      <c r="I244" s="157"/>
      <c r="J244" s="158" t="s">
        <v>966</v>
      </c>
      <c r="AN244" s="131">
        <v>2</v>
      </c>
    </row>
    <row r="245" spans="1:40" s="131" customFormat="1" x14ac:dyDescent="0.2">
      <c r="A245" s="195" t="s">
        <v>162</v>
      </c>
      <c r="B245" s="218" t="s">
        <v>112</v>
      </c>
      <c r="C245" s="153" t="s">
        <v>134</v>
      </c>
      <c r="D245" s="154" t="s">
        <v>133</v>
      </c>
      <c r="E245" s="154">
        <v>2</v>
      </c>
      <c r="F245" s="155">
        <v>0</v>
      </c>
      <c r="G245" s="155">
        <f t="shared" si="16"/>
        <v>0</v>
      </c>
      <c r="H245" s="156"/>
      <c r="I245" s="157"/>
      <c r="J245" s="158" t="s">
        <v>966</v>
      </c>
      <c r="AN245" s="131">
        <v>2</v>
      </c>
    </row>
    <row r="246" spans="1:40" s="131" customFormat="1" x14ac:dyDescent="0.2">
      <c r="A246" s="195" t="s">
        <v>162</v>
      </c>
      <c r="B246" s="218" t="s">
        <v>113</v>
      </c>
      <c r="C246" s="153" t="s">
        <v>135</v>
      </c>
      <c r="D246" s="154" t="s">
        <v>133</v>
      </c>
      <c r="E246" s="154">
        <v>12</v>
      </c>
      <c r="F246" s="155">
        <v>0</v>
      </c>
      <c r="G246" s="155">
        <f t="shared" si="16"/>
        <v>0</v>
      </c>
      <c r="H246" s="156"/>
      <c r="I246" s="198" t="s">
        <v>844</v>
      </c>
      <c r="J246" s="158" t="s">
        <v>966</v>
      </c>
      <c r="AN246" s="131">
        <v>2</v>
      </c>
    </row>
    <row r="247" spans="1:40" s="131" customFormat="1" x14ac:dyDescent="0.2">
      <c r="A247" s="195" t="s">
        <v>162</v>
      </c>
      <c r="B247" s="218" t="s">
        <v>114</v>
      </c>
      <c r="C247" s="153" t="s">
        <v>137</v>
      </c>
      <c r="D247" s="154" t="s">
        <v>137</v>
      </c>
      <c r="E247" s="154">
        <v>4</v>
      </c>
      <c r="F247" s="155">
        <v>0.35</v>
      </c>
      <c r="G247" s="155">
        <f t="shared" si="16"/>
        <v>1.4</v>
      </c>
      <c r="H247" s="156"/>
      <c r="I247" s="157"/>
      <c r="J247" s="158" t="s">
        <v>970</v>
      </c>
      <c r="AN247" s="131">
        <v>2</v>
      </c>
    </row>
    <row r="248" spans="1:40" s="131" customFormat="1" x14ac:dyDescent="0.2">
      <c r="A248" s="195" t="s">
        <v>162</v>
      </c>
      <c r="B248" s="218" t="s">
        <v>115</v>
      </c>
      <c r="C248" s="153" t="s">
        <v>138</v>
      </c>
      <c r="D248" s="154" t="s">
        <v>139</v>
      </c>
      <c r="E248" s="154">
        <v>2</v>
      </c>
      <c r="F248" s="155">
        <v>0.03</v>
      </c>
      <c r="G248" s="155">
        <f t="shared" si="16"/>
        <v>0.06</v>
      </c>
      <c r="H248" s="156"/>
      <c r="I248" s="157" t="s">
        <v>949</v>
      </c>
      <c r="J248" s="158" t="s">
        <v>964</v>
      </c>
      <c r="AN248" s="131">
        <v>2</v>
      </c>
    </row>
    <row r="249" spans="1:40" s="131" customFormat="1" x14ac:dyDescent="0.2">
      <c r="A249" s="195" t="s">
        <v>162</v>
      </c>
      <c r="B249" s="218" t="s">
        <v>116</v>
      </c>
      <c r="C249" s="153" t="s">
        <v>140</v>
      </c>
      <c r="D249" s="154" t="s">
        <v>141</v>
      </c>
      <c r="E249" s="154">
        <v>2</v>
      </c>
      <c r="F249" s="155">
        <v>0.03</v>
      </c>
      <c r="G249" s="155">
        <f t="shared" si="16"/>
        <v>0.06</v>
      </c>
      <c r="H249" s="156"/>
      <c r="I249" s="157"/>
      <c r="J249" s="158"/>
      <c r="AN249" s="131">
        <v>2</v>
      </c>
    </row>
    <row r="250" spans="1:40" s="131" customFormat="1" x14ac:dyDescent="0.2">
      <c r="A250" s="195" t="s">
        <v>162</v>
      </c>
      <c r="B250" s="218" t="s">
        <v>117</v>
      </c>
      <c r="C250" s="153" t="s">
        <v>378</v>
      </c>
      <c r="D250" s="154" t="s">
        <v>821</v>
      </c>
      <c r="E250" s="154">
        <v>4</v>
      </c>
      <c r="F250" s="155">
        <v>0.01</v>
      </c>
      <c r="G250" s="155">
        <f t="shared" si="16"/>
        <v>0.04</v>
      </c>
      <c r="H250" s="156"/>
      <c r="I250" s="157" t="s">
        <v>844</v>
      </c>
      <c r="J250" s="158"/>
      <c r="AN250" s="131">
        <v>2</v>
      </c>
    </row>
    <row r="251" spans="1:40" x14ac:dyDescent="0.2">
      <c r="A251" s="224" t="s">
        <v>162</v>
      </c>
      <c r="B251" s="218" t="s">
        <v>117</v>
      </c>
      <c r="C251" s="153" t="s">
        <v>962</v>
      </c>
      <c r="D251" s="154" t="s">
        <v>963</v>
      </c>
      <c r="E251" s="154">
        <v>4</v>
      </c>
      <c r="F251" s="155">
        <v>0.01</v>
      </c>
      <c r="G251" s="155">
        <f t="shared" si="16"/>
        <v>0.04</v>
      </c>
      <c r="H251" s="156"/>
      <c r="I251" s="157" t="s">
        <v>859</v>
      </c>
      <c r="J251" s="158" t="s">
        <v>964</v>
      </c>
      <c r="K251" s="60"/>
      <c r="L251" s="24"/>
      <c r="M251" s="25"/>
      <c r="N251" s="132"/>
      <c r="O251" s="26"/>
      <c r="P251" s="45"/>
      <c r="Q251" s="34"/>
      <c r="R251" s="30"/>
      <c r="S251" s="36"/>
      <c r="T251" s="31"/>
      <c r="U251" s="23"/>
      <c r="V251" s="133"/>
      <c r="W251" s="133"/>
      <c r="X251" s="133"/>
      <c r="Y251" s="133"/>
      <c r="Z251" s="133"/>
      <c r="AA251" s="133"/>
      <c r="AB251" s="133"/>
      <c r="AC251" s="133"/>
      <c r="AD251" s="133"/>
      <c r="AE251" s="133"/>
      <c r="AF251" s="133"/>
      <c r="AG251" s="151"/>
      <c r="AH251" s="151"/>
      <c r="AI251" s="151"/>
      <c r="AJ251" s="151"/>
      <c r="AK251" s="151"/>
      <c r="AL251" s="151"/>
      <c r="AM251" s="152"/>
      <c r="AN251" s="1">
        <v>2</v>
      </c>
    </row>
    <row r="252" spans="1:40" s="131" customFormat="1" x14ac:dyDescent="0.2">
      <c r="A252" s="195" t="s">
        <v>162</v>
      </c>
      <c r="B252" s="218" t="s">
        <v>118</v>
      </c>
      <c r="C252" s="153" t="s">
        <v>180</v>
      </c>
      <c r="D252" s="154" t="s">
        <v>776</v>
      </c>
      <c r="E252" s="154">
        <v>4</v>
      </c>
      <c r="F252" s="155">
        <v>0</v>
      </c>
      <c r="G252" s="155">
        <f t="shared" si="16"/>
        <v>0</v>
      </c>
      <c r="H252" s="156"/>
      <c r="I252" s="157"/>
      <c r="J252" s="158"/>
      <c r="AN252" s="250">
        <v>2</v>
      </c>
    </row>
    <row r="253" spans="1:40" s="131" customFormat="1" ht="25.5" x14ac:dyDescent="0.2">
      <c r="A253" s="195" t="s">
        <v>162</v>
      </c>
      <c r="B253" s="218" t="s">
        <v>155</v>
      </c>
      <c r="C253" s="153" t="s">
        <v>144</v>
      </c>
      <c r="D253" s="154" t="s">
        <v>145</v>
      </c>
      <c r="E253" s="154">
        <v>4</v>
      </c>
      <c r="F253" s="155">
        <v>0.12</v>
      </c>
      <c r="G253" s="155">
        <f t="shared" si="16"/>
        <v>0.48</v>
      </c>
      <c r="H253" s="156">
        <v>1.4300999999999999</v>
      </c>
      <c r="I253" s="157" t="s">
        <v>949</v>
      </c>
      <c r="J253" s="158" t="s">
        <v>971</v>
      </c>
      <c r="AN253" s="250">
        <v>2</v>
      </c>
    </row>
    <row r="254" spans="1:40" s="131" customFormat="1" ht="25.5" x14ac:dyDescent="0.2">
      <c r="A254" s="195" t="s">
        <v>162</v>
      </c>
      <c r="B254" s="218" t="s">
        <v>156</v>
      </c>
      <c r="C254" s="153" t="s">
        <v>822</v>
      </c>
      <c r="D254" s="154" t="s">
        <v>787</v>
      </c>
      <c r="E254" s="154">
        <v>4</v>
      </c>
      <c r="F254" s="155">
        <v>0.03</v>
      </c>
      <c r="G254" s="155">
        <f t="shared" si="16"/>
        <v>0.12</v>
      </c>
      <c r="H254" s="156"/>
      <c r="I254" s="198" t="s">
        <v>844</v>
      </c>
      <c r="J254" s="158"/>
      <c r="AN254" s="250">
        <v>2</v>
      </c>
    </row>
    <row r="255" spans="1:40" s="131" customFormat="1" ht="25.5" x14ac:dyDescent="0.2">
      <c r="A255" s="195" t="s">
        <v>162</v>
      </c>
      <c r="B255" s="218" t="s">
        <v>157</v>
      </c>
      <c r="C255" s="153" t="s">
        <v>823</v>
      </c>
      <c r="D255" s="154" t="s">
        <v>787</v>
      </c>
      <c r="E255" s="154">
        <v>4</v>
      </c>
      <c r="F255" s="155">
        <v>0.02</v>
      </c>
      <c r="G255" s="155">
        <f t="shared" si="16"/>
        <v>0.08</v>
      </c>
      <c r="H255" s="156"/>
      <c r="I255" s="198" t="s">
        <v>844</v>
      </c>
      <c r="J255" s="158"/>
      <c r="AN255" s="250">
        <v>2</v>
      </c>
    </row>
    <row r="256" spans="1:40" s="131" customFormat="1" ht="25.5" x14ac:dyDescent="0.2">
      <c r="A256" s="195" t="s">
        <v>162</v>
      </c>
      <c r="B256" s="218" t="s">
        <v>158</v>
      </c>
      <c r="C256" s="153" t="s">
        <v>824</v>
      </c>
      <c r="D256" s="154" t="s">
        <v>825</v>
      </c>
      <c r="E256" s="154">
        <v>6</v>
      </c>
      <c r="F256" s="155">
        <v>0.01</v>
      </c>
      <c r="G256" s="155">
        <f t="shared" si="16"/>
        <v>0.06</v>
      </c>
      <c r="H256" s="156"/>
      <c r="I256" s="157"/>
      <c r="J256" s="158"/>
      <c r="AN256" s="250">
        <v>2</v>
      </c>
    </row>
    <row r="257" spans="1:40" s="131" customFormat="1" ht="25.5" x14ac:dyDescent="0.2">
      <c r="A257" s="195" t="s">
        <v>162</v>
      </c>
      <c r="B257" s="218" t="s">
        <v>159</v>
      </c>
      <c r="C257" s="153" t="s">
        <v>826</v>
      </c>
      <c r="D257" s="154" t="s">
        <v>787</v>
      </c>
      <c r="E257" s="154">
        <v>6</v>
      </c>
      <c r="F257" s="155">
        <v>0</v>
      </c>
      <c r="G257" s="155">
        <f t="shared" si="16"/>
        <v>0</v>
      </c>
      <c r="H257" s="156"/>
      <c r="I257" s="157"/>
      <c r="J257" s="158"/>
      <c r="AN257" s="250">
        <v>2</v>
      </c>
    </row>
    <row r="258" spans="1:40" s="131" customFormat="1" ht="25.5" x14ac:dyDescent="0.2">
      <c r="A258" s="195" t="s">
        <v>162</v>
      </c>
      <c r="B258" s="218" t="s">
        <v>159</v>
      </c>
      <c r="C258" s="153" t="s">
        <v>826</v>
      </c>
      <c r="D258" s="154" t="s">
        <v>787</v>
      </c>
      <c r="E258" s="154">
        <v>4</v>
      </c>
      <c r="F258" s="155">
        <v>0</v>
      </c>
      <c r="G258" s="155">
        <f t="shared" si="16"/>
        <v>0</v>
      </c>
      <c r="H258" s="156"/>
      <c r="I258" s="157" t="s">
        <v>846</v>
      </c>
      <c r="J258" s="158"/>
      <c r="AN258" s="250">
        <v>2</v>
      </c>
    </row>
    <row r="259" spans="1:40" s="131" customFormat="1" ht="25.5" x14ac:dyDescent="0.2">
      <c r="A259" s="195" t="s">
        <v>162</v>
      </c>
      <c r="B259" s="218" t="s">
        <v>160</v>
      </c>
      <c r="C259" s="153" t="s">
        <v>827</v>
      </c>
      <c r="D259" s="154" t="s">
        <v>143</v>
      </c>
      <c r="E259" s="154">
        <v>4</v>
      </c>
      <c r="F259" s="155">
        <v>0</v>
      </c>
      <c r="G259" s="155">
        <f t="shared" si="16"/>
        <v>0</v>
      </c>
      <c r="H259" s="156"/>
      <c r="I259" s="157" t="s">
        <v>844</v>
      </c>
      <c r="J259" s="158"/>
      <c r="AN259" s="250">
        <v>2</v>
      </c>
    </row>
    <row r="260" spans="1:40" s="131" customFormat="1" x14ac:dyDescent="0.2">
      <c r="A260" s="195" t="s">
        <v>162</v>
      </c>
      <c r="B260" s="218" t="s">
        <v>161</v>
      </c>
      <c r="C260" s="153" t="s">
        <v>146</v>
      </c>
      <c r="D260" s="154" t="s">
        <v>147</v>
      </c>
      <c r="E260" s="154">
        <v>4</v>
      </c>
      <c r="F260" s="155">
        <v>0.04</v>
      </c>
      <c r="G260" s="155">
        <f t="shared" si="16"/>
        <v>0.16</v>
      </c>
      <c r="H260" s="156">
        <v>1.4300999999999999</v>
      </c>
      <c r="I260" s="157"/>
      <c r="J260" s="158" t="s">
        <v>973</v>
      </c>
      <c r="AN260" s="250">
        <v>2</v>
      </c>
    </row>
    <row r="261" spans="1:40" s="131" customFormat="1" ht="25.5" x14ac:dyDescent="0.2">
      <c r="A261" s="195" t="s">
        <v>162</v>
      </c>
      <c r="B261" s="218" t="s">
        <v>274</v>
      </c>
      <c r="C261" s="153" t="s">
        <v>148</v>
      </c>
      <c r="D261" s="154" t="s">
        <v>828</v>
      </c>
      <c r="E261" s="154">
        <v>8</v>
      </c>
      <c r="F261" s="155">
        <v>0.02</v>
      </c>
      <c r="G261" s="155">
        <f t="shared" si="16"/>
        <v>0.16</v>
      </c>
      <c r="H261" s="156"/>
      <c r="I261" s="198" t="s">
        <v>844</v>
      </c>
      <c r="J261" s="158"/>
      <c r="AN261" s="250">
        <v>2</v>
      </c>
    </row>
    <row r="262" spans="1:40" s="131" customFormat="1" x14ac:dyDescent="0.2">
      <c r="A262" s="195" t="s">
        <v>162</v>
      </c>
      <c r="B262" s="218" t="s">
        <v>275</v>
      </c>
      <c r="C262" s="153" t="s">
        <v>149</v>
      </c>
      <c r="D262" s="154" t="s">
        <v>150</v>
      </c>
      <c r="E262" s="154">
        <v>4</v>
      </c>
      <c r="F262" s="155">
        <v>0</v>
      </c>
      <c r="G262" s="155">
        <f t="shared" si="16"/>
        <v>0</v>
      </c>
      <c r="H262" s="156"/>
      <c r="I262" s="157" t="s">
        <v>844</v>
      </c>
      <c r="J262" s="158"/>
      <c r="AN262" s="250">
        <v>2</v>
      </c>
    </row>
    <row r="263" spans="1:40" s="131" customFormat="1" x14ac:dyDescent="0.2">
      <c r="A263" s="195" t="s">
        <v>162</v>
      </c>
      <c r="B263" s="218" t="s">
        <v>276</v>
      </c>
      <c r="C263" s="153" t="s">
        <v>151</v>
      </c>
      <c r="D263" s="154" t="s">
        <v>152</v>
      </c>
      <c r="E263" s="154">
        <v>6</v>
      </c>
      <c r="F263" s="155">
        <v>0</v>
      </c>
      <c r="G263" s="155">
        <f t="shared" si="16"/>
        <v>0</v>
      </c>
      <c r="H263" s="156"/>
      <c r="I263" s="157"/>
      <c r="J263" s="158"/>
      <c r="AN263" s="250">
        <v>2</v>
      </c>
    </row>
    <row r="264" spans="1:40" s="131" customFormat="1" x14ac:dyDescent="0.2">
      <c r="A264" s="195" t="s">
        <v>162</v>
      </c>
      <c r="B264" s="218" t="s">
        <v>276</v>
      </c>
      <c r="C264" s="153" t="s">
        <v>151</v>
      </c>
      <c r="D264" s="154" t="s">
        <v>152</v>
      </c>
      <c r="E264" s="154">
        <v>4</v>
      </c>
      <c r="F264" s="155">
        <v>0</v>
      </c>
      <c r="G264" s="155">
        <f t="shared" si="16"/>
        <v>0</v>
      </c>
      <c r="H264" s="156"/>
      <c r="I264" s="157" t="s">
        <v>846</v>
      </c>
      <c r="J264" s="158"/>
      <c r="AN264" s="250">
        <v>2</v>
      </c>
    </row>
    <row r="265" spans="1:40" s="131" customFormat="1" x14ac:dyDescent="0.2">
      <c r="A265" s="195" t="s">
        <v>162</v>
      </c>
      <c r="B265" s="218" t="s">
        <v>277</v>
      </c>
      <c r="C265" s="153" t="s">
        <v>221</v>
      </c>
      <c r="D265" s="154" t="s">
        <v>829</v>
      </c>
      <c r="E265" s="154">
        <v>2</v>
      </c>
      <c r="F265" s="155">
        <v>0</v>
      </c>
      <c r="G265" s="155">
        <f t="shared" si="16"/>
        <v>0</v>
      </c>
      <c r="H265" s="156"/>
      <c r="I265" s="157"/>
      <c r="J265" s="158"/>
      <c r="AN265" s="250">
        <v>2</v>
      </c>
    </row>
    <row r="266" spans="1:40" s="131" customFormat="1" x14ac:dyDescent="0.2">
      <c r="A266" s="195" t="s">
        <v>162</v>
      </c>
      <c r="B266" s="218" t="s">
        <v>298</v>
      </c>
      <c r="C266" s="153" t="s">
        <v>153</v>
      </c>
      <c r="D266" s="154" t="s">
        <v>154</v>
      </c>
      <c r="E266" s="154">
        <v>6</v>
      </c>
      <c r="F266" s="155">
        <v>0</v>
      </c>
      <c r="G266" s="155">
        <f t="shared" si="16"/>
        <v>0</v>
      </c>
      <c r="H266" s="156"/>
      <c r="I266" s="157"/>
      <c r="J266" s="158"/>
      <c r="AN266" s="250">
        <v>2</v>
      </c>
    </row>
    <row r="267" spans="1:40" s="131" customFormat="1" x14ac:dyDescent="0.2">
      <c r="A267" s="195" t="s">
        <v>162</v>
      </c>
      <c r="B267" s="218" t="s">
        <v>356</v>
      </c>
      <c r="C267" s="153" t="s">
        <v>830</v>
      </c>
      <c r="D267" s="154" t="s">
        <v>831</v>
      </c>
      <c r="E267" s="154">
        <v>2</v>
      </c>
      <c r="F267" s="155">
        <v>0.01</v>
      </c>
      <c r="G267" s="155">
        <f t="shared" si="16"/>
        <v>0.02</v>
      </c>
      <c r="H267" s="156"/>
      <c r="I267" s="157"/>
      <c r="J267" s="158"/>
      <c r="AN267" s="250">
        <v>2</v>
      </c>
    </row>
    <row r="268" spans="1:40" ht="15.6" customHeight="1" x14ac:dyDescent="0.2">
      <c r="A268" s="224" t="s">
        <v>162</v>
      </c>
      <c r="B268" s="218" t="s">
        <v>371</v>
      </c>
      <c r="C268" s="159">
        <v>70163</v>
      </c>
      <c r="D268" s="160" t="s">
        <v>278</v>
      </c>
      <c r="E268" s="160">
        <v>1</v>
      </c>
      <c r="F268" s="161"/>
      <c r="G268" s="161"/>
      <c r="H268" s="162"/>
      <c r="I268" s="171"/>
      <c r="J268" s="163" t="s">
        <v>273</v>
      </c>
      <c r="K268" s="60"/>
      <c r="L268" s="24"/>
      <c r="M268" s="25"/>
      <c r="N268" s="132"/>
      <c r="O268" s="26"/>
      <c r="P268" s="45"/>
      <c r="Q268" s="34"/>
      <c r="R268" s="30"/>
      <c r="S268" s="36"/>
      <c r="T268" s="31"/>
      <c r="U268" s="23"/>
      <c r="V268" s="133"/>
      <c r="W268" s="133"/>
      <c r="X268" s="133"/>
      <c r="Y268" s="133"/>
      <c r="Z268" s="133"/>
      <c r="AA268" s="133"/>
      <c r="AB268" s="133"/>
      <c r="AC268" s="133"/>
      <c r="AD268" s="133"/>
      <c r="AE268" s="133"/>
      <c r="AF268" s="133"/>
      <c r="AG268" s="151"/>
      <c r="AH268" s="151"/>
      <c r="AI268" s="151"/>
      <c r="AJ268" s="151"/>
      <c r="AK268" s="151"/>
      <c r="AL268" s="151"/>
      <c r="AM268" s="152"/>
      <c r="AN268" s="1">
        <v>2</v>
      </c>
    </row>
    <row r="269" spans="1:40" ht="12" customHeight="1" x14ac:dyDescent="0.2">
      <c r="A269" s="224" t="s">
        <v>162</v>
      </c>
      <c r="B269" s="218" t="s">
        <v>373</v>
      </c>
      <c r="C269" s="159">
        <v>65539</v>
      </c>
      <c r="D269" s="160" t="s">
        <v>279</v>
      </c>
      <c r="E269" s="160">
        <v>1</v>
      </c>
      <c r="F269" s="161"/>
      <c r="G269" s="161"/>
      <c r="H269" s="162"/>
      <c r="I269" s="171"/>
      <c r="J269" s="163" t="s">
        <v>273</v>
      </c>
      <c r="K269" s="60"/>
      <c r="L269" s="24"/>
      <c r="M269" s="25"/>
      <c r="N269" s="132"/>
      <c r="O269" s="26"/>
      <c r="P269" s="45"/>
      <c r="Q269" s="34"/>
      <c r="R269" s="30"/>
      <c r="S269" s="36"/>
      <c r="T269" s="31"/>
      <c r="U269" s="23"/>
      <c r="V269" s="133"/>
      <c r="W269" s="133"/>
      <c r="X269" s="133"/>
      <c r="Y269" s="133"/>
      <c r="Z269" s="133"/>
      <c r="AA269" s="133"/>
      <c r="AB269" s="133"/>
      <c r="AC269" s="133"/>
      <c r="AD269" s="133"/>
      <c r="AE269" s="133"/>
      <c r="AF269" s="133"/>
      <c r="AG269" s="151"/>
      <c r="AH269" s="151"/>
      <c r="AI269" s="151"/>
      <c r="AJ269" s="151"/>
      <c r="AK269" s="151"/>
      <c r="AL269" s="151"/>
      <c r="AM269" s="152"/>
      <c r="AN269" s="1">
        <v>2</v>
      </c>
    </row>
    <row r="270" spans="1:40" ht="14.45" customHeight="1" x14ac:dyDescent="0.2">
      <c r="A270" s="224" t="s">
        <v>162</v>
      </c>
      <c r="B270" s="218" t="s">
        <v>374</v>
      </c>
      <c r="C270" s="159">
        <v>69972</v>
      </c>
      <c r="D270" s="160" t="s">
        <v>280</v>
      </c>
      <c r="E270" s="160">
        <v>1</v>
      </c>
      <c r="F270" s="161"/>
      <c r="G270" s="161"/>
      <c r="H270" s="162"/>
      <c r="I270" s="171"/>
      <c r="J270" s="163" t="s">
        <v>273</v>
      </c>
      <c r="K270" s="60"/>
      <c r="L270" s="24"/>
      <c r="M270" s="25"/>
      <c r="N270" s="132"/>
      <c r="O270" s="26"/>
      <c r="P270" s="45"/>
      <c r="Q270" s="34"/>
      <c r="R270" s="30"/>
      <c r="S270" s="36"/>
      <c r="T270" s="31"/>
      <c r="U270" s="23"/>
      <c r="V270" s="133"/>
      <c r="W270" s="133"/>
      <c r="X270" s="133"/>
      <c r="Y270" s="133"/>
      <c r="Z270" s="133"/>
      <c r="AA270" s="133"/>
      <c r="AB270" s="133"/>
      <c r="AC270" s="133"/>
      <c r="AD270" s="133"/>
      <c r="AE270" s="133"/>
      <c r="AF270" s="133"/>
      <c r="AG270" s="151"/>
      <c r="AH270" s="151"/>
      <c r="AI270" s="151"/>
      <c r="AJ270" s="151"/>
      <c r="AK270" s="151"/>
      <c r="AL270" s="151"/>
      <c r="AM270" s="152"/>
      <c r="AN270" s="1">
        <v>2</v>
      </c>
    </row>
    <row r="271" spans="1:40" ht="13.15" customHeight="1" x14ac:dyDescent="0.2">
      <c r="A271" s="224" t="s">
        <v>162</v>
      </c>
      <c r="B271" s="218" t="s">
        <v>375</v>
      </c>
      <c r="C271" s="223">
        <v>45588</v>
      </c>
      <c r="D271" s="154" t="s">
        <v>881</v>
      </c>
      <c r="E271" s="160">
        <v>1</v>
      </c>
      <c r="F271" s="161"/>
      <c r="G271" s="161"/>
      <c r="H271" s="162"/>
      <c r="I271" s="171"/>
      <c r="J271" s="163" t="s">
        <v>273</v>
      </c>
      <c r="K271" s="60"/>
      <c r="L271" s="24"/>
      <c r="M271" s="25"/>
      <c r="N271" s="132"/>
      <c r="O271" s="26"/>
      <c r="P271" s="45"/>
      <c r="Q271" s="34"/>
      <c r="R271" s="30"/>
      <c r="S271" s="36"/>
      <c r="T271" s="31"/>
      <c r="U271" s="23"/>
      <c r="V271" s="133"/>
      <c r="W271" s="133"/>
      <c r="X271" s="133"/>
      <c r="Y271" s="133"/>
      <c r="Z271" s="133"/>
      <c r="AA271" s="133"/>
      <c r="AB271" s="133"/>
      <c r="AC271" s="133"/>
      <c r="AD271" s="133"/>
      <c r="AE271" s="133"/>
      <c r="AF271" s="133"/>
      <c r="AG271" s="151"/>
      <c r="AH271" s="151"/>
      <c r="AI271" s="151"/>
      <c r="AJ271" s="151"/>
      <c r="AK271" s="151"/>
      <c r="AL271" s="151"/>
      <c r="AM271" s="152"/>
      <c r="AN271" s="1">
        <v>2</v>
      </c>
    </row>
    <row r="272" spans="1:40" ht="13.9" customHeight="1" x14ac:dyDescent="0.2">
      <c r="A272" s="224" t="s">
        <v>162</v>
      </c>
      <c r="B272" s="218" t="s">
        <v>376</v>
      </c>
      <c r="C272" s="159">
        <v>57559</v>
      </c>
      <c r="D272" s="160" t="s">
        <v>281</v>
      </c>
      <c r="E272" s="160">
        <v>2</v>
      </c>
      <c r="F272" s="161"/>
      <c r="G272" s="161"/>
      <c r="H272" s="162"/>
      <c r="I272" s="171"/>
      <c r="J272" s="163" t="s">
        <v>273</v>
      </c>
      <c r="K272" s="60"/>
      <c r="L272" s="24"/>
      <c r="M272" s="25"/>
      <c r="N272" s="132"/>
      <c r="O272" s="26"/>
      <c r="P272" s="45"/>
      <c r="Q272" s="34"/>
      <c r="R272" s="30"/>
      <c r="S272" s="36"/>
      <c r="T272" s="31"/>
      <c r="U272" s="23"/>
      <c r="V272" s="133"/>
      <c r="W272" s="133"/>
      <c r="X272" s="133"/>
      <c r="Y272" s="133"/>
      <c r="Z272" s="133"/>
      <c r="AA272" s="133"/>
      <c r="AB272" s="133"/>
      <c r="AC272" s="133"/>
      <c r="AD272" s="133"/>
      <c r="AE272" s="133"/>
      <c r="AF272" s="133"/>
      <c r="AG272" s="151"/>
      <c r="AH272" s="151"/>
      <c r="AI272" s="151"/>
      <c r="AJ272" s="151"/>
      <c r="AK272" s="151"/>
      <c r="AL272" s="151"/>
      <c r="AM272" s="152"/>
      <c r="AN272" s="1">
        <v>2</v>
      </c>
    </row>
    <row r="273" spans="1:40" ht="14.45" customHeight="1" x14ac:dyDescent="0.2">
      <c r="A273" s="224" t="s">
        <v>162</v>
      </c>
      <c r="B273" s="218" t="s">
        <v>377</v>
      </c>
      <c r="C273" s="153">
        <v>58189</v>
      </c>
      <c r="D273" s="154" t="s">
        <v>882</v>
      </c>
      <c r="E273" s="154">
        <v>1</v>
      </c>
      <c r="F273" s="161"/>
      <c r="G273" s="161"/>
      <c r="H273" s="162"/>
      <c r="I273" s="194"/>
      <c r="J273" s="163" t="s">
        <v>273</v>
      </c>
      <c r="K273" s="60"/>
      <c r="L273" s="24"/>
      <c r="M273" s="25"/>
      <c r="N273" s="132"/>
      <c r="O273" s="26"/>
      <c r="P273" s="45"/>
      <c r="Q273" s="34"/>
      <c r="R273" s="30"/>
      <c r="S273" s="36"/>
      <c r="T273" s="31"/>
      <c r="U273" s="23"/>
      <c r="V273" s="133"/>
      <c r="W273" s="133"/>
      <c r="X273" s="133"/>
      <c r="Y273" s="133"/>
      <c r="Z273" s="133"/>
      <c r="AA273" s="133"/>
      <c r="AB273" s="133"/>
      <c r="AC273" s="133"/>
      <c r="AD273" s="133"/>
      <c r="AE273" s="133"/>
      <c r="AF273" s="133"/>
      <c r="AG273" s="151"/>
      <c r="AH273" s="151"/>
      <c r="AI273" s="151"/>
      <c r="AJ273" s="151"/>
      <c r="AK273" s="151"/>
      <c r="AL273" s="151"/>
      <c r="AM273" s="152"/>
      <c r="AN273" s="1">
        <v>2</v>
      </c>
    </row>
    <row r="274" spans="1:40" ht="11.25" customHeight="1" outlineLevel="1" x14ac:dyDescent="0.2">
      <c r="A274" s="225" t="s">
        <v>162</v>
      </c>
      <c r="B274" s="218" t="s">
        <v>380</v>
      </c>
      <c r="C274" s="186" t="s">
        <v>368</v>
      </c>
      <c r="D274" s="154" t="s">
        <v>883</v>
      </c>
      <c r="E274" s="154">
        <v>1</v>
      </c>
      <c r="F274" s="155">
        <v>0.5</v>
      </c>
      <c r="G274" s="155">
        <f t="shared" ref="G274" si="17">F274*E274</f>
        <v>0.5</v>
      </c>
      <c r="H274" s="156"/>
      <c r="I274" s="171" t="s">
        <v>848</v>
      </c>
      <c r="J274" s="179" t="s">
        <v>369</v>
      </c>
      <c r="K274" s="180"/>
      <c r="L274" s="181"/>
      <c r="M274" s="178"/>
      <c r="N274" s="165"/>
      <c r="O274" s="182"/>
      <c r="P274" s="182"/>
      <c r="Q274" s="178"/>
      <c r="R274" s="183"/>
      <c r="S274" s="184"/>
      <c r="T274" s="185"/>
      <c r="U274" s="178"/>
      <c r="AF274" s="9"/>
      <c r="AN274" s="1">
        <v>2</v>
      </c>
    </row>
    <row r="275" spans="1:40" ht="11.25" customHeight="1" outlineLevel="1" x14ac:dyDescent="0.2">
      <c r="A275" s="225" t="s">
        <v>162</v>
      </c>
      <c r="B275" s="218" t="s">
        <v>380</v>
      </c>
      <c r="C275" s="186" t="s">
        <v>368</v>
      </c>
      <c r="D275" s="154" t="s">
        <v>987</v>
      </c>
      <c r="E275" s="154">
        <v>1</v>
      </c>
      <c r="F275" s="155">
        <v>0.5</v>
      </c>
      <c r="G275" s="155">
        <f t="shared" ref="G275" si="18">F275*E275</f>
        <v>0.5</v>
      </c>
      <c r="H275" s="156"/>
      <c r="I275" s="171" t="s">
        <v>959</v>
      </c>
      <c r="J275" s="179" t="s">
        <v>369</v>
      </c>
      <c r="K275" s="180"/>
      <c r="L275" s="181"/>
      <c r="M275" s="178"/>
      <c r="N275" s="165"/>
      <c r="O275" s="182"/>
      <c r="P275" s="182"/>
      <c r="Q275" s="178"/>
      <c r="R275" s="183"/>
      <c r="S275" s="184"/>
      <c r="T275" s="185"/>
      <c r="U275" s="178"/>
      <c r="AF275" s="9"/>
      <c r="AN275" s="1">
        <v>2</v>
      </c>
    </row>
    <row r="276" spans="1:40" s="192" customFormat="1" ht="24.75" customHeight="1" outlineLevel="1" x14ac:dyDescent="0.2">
      <c r="A276" s="225" t="s">
        <v>162</v>
      </c>
      <c r="B276" s="218" t="s">
        <v>412</v>
      </c>
      <c r="C276" s="193" t="s">
        <v>886</v>
      </c>
      <c r="D276" s="154" t="s">
        <v>887</v>
      </c>
      <c r="E276" s="154">
        <v>1</v>
      </c>
      <c r="F276" s="155"/>
      <c r="G276" s="155"/>
      <c r="H276" s="156"/>
      <c r="I276" s="171"/>
      <c r="J276" s="179" t="s">
        <v>417</v>
      </c>
      <c r="K276" s="187"/>
      <c r="L276" s="188"/>
      <c r="M276" s="189"/>
      <c r="N276" s="190"/>
      <c r="O276" s="191"/>
      <c r="P276" s="191"/>
      <c r="Q276" s="189"/>
      <c r="R276" s="185"/>
      <c r="S276" s="184"/>
      <c r="T276" s="185"/>
      <c r="U276" s="189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N276" s="192">
        <v>2</v>
      </c>
    </row>
    <row r="277" spans="1:40" s="192" customFormat="1" ht="24.75" customHeight="1" outlineLevel="1" x14ac:dyDescent="0.2">
      <c r="A277" s="225" t="s">
        <v>162</v>
      </c>
      <c r="B277" s="218" t="s">
        <v>413</v>
      </c>
      <c r="C277" s="226" t="s">
        <v>884</v>
      </c>
      <c r="D277" s="160" t="s">
        <v>888</v>
      </c>
      <c r="E277" s="160">
        <v>1</v>
      </c>
      <c r="F277" s="161"/>
      <c r="G277" s="161"/>
      <c r="H277" s="162"/>
      <c r="I277" s="171"/>
      <c r="J277" s="227" t="s">
        <v>885</v>
      </c>
      <c r="K277" s="187"/>
      <c r="L277" s="188"/>
      <c r="M277" s="189"/>
      <c r="N277" s="190"/>
      <c r="O277" s="191"/>
      <c r="P277" s="191"/>
      <c r="Q277" s="189"/>
      <c r="R277" s="185"/>
      <c r="S277" s="184"/>
      <c r="T277" s="185"/>
      <c r="U277" s="189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N277" s="192">
        <v>2</v>
      </c>
    </row>
    <row r="278" spans="1:40" s="192" customFormat="1" ht="24.75" customHeight="1" x14ac:dyDescent="0.2">
      <c r="A278" s="228" t="s">
        <v>162</v>
      </c>
      <c r="B278" s="213" t="s">
        <v>426</v>
      </c>
      <c r="C278" s="153" t="s">
        <v>418</v>
      </c>
      <c r="D278" s="154" t="s">
        <v>419</v>
      </c>
      <c r="E278" s="160">
        <v>2</v>
      </c>
      <c r="F278" s="155"/>
      <c r="G278" s="155"/>
      <c r="H278" s="156"/>
      <c r="I278" s="157"/>
      <c r="J278" s="179" t="s">
        <v>414</v>
      </c>
      <c r="K278" s="187"/>
      <c r="L278" s="188"/>
      <c r="M278" s="189"/>
      <c r="N278" s="190"/>
      <c r="O278" s="191"/>
      <c r="P278" s="191"/>
      <c r="Q278" s="189"/>
      <c r="R278" s="185"/>
      <c r="S278" s="184"/>
      <c r="T278" s="185"/>
      <c r="U278" s="189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N278" s="192">
        <v>2</v>
      </c>
    </row>
    <row r="279" spans="1:40" s="192" customFormat="1" ht="24.75" customHeight="1" x14ac:dyDescent="0.2">
      <c r="A279" s="228" t="s">
        <v>162</v>
      </c>
      <c r="B279" s="213" t="s">
        <v>427</v>
      </c>
      <c r="C279" s="153" t="s">
        <v>420</v>
      </c>
      <c r="D279" s="154" t="s">
        <v>421</v>
      </c>
      <c r="E279" s="160">
        <v>1</v>
      </c>
      <c r="F279" s="155"/>
      <c r="G279" s="155"/>
      <c r="H279" s="156"/>
      <c r="I279" s="157"/>
      <c r="J279" s="179" t="s">
        <v>414</v>
      </c>
      <c r="K279" s="187"/>
      <c r="L279" s="188"/>
      <c r="M279" s="189"/>
      <c r="N279" s="190"/>
      <c r="O279" s="191"/>
      <c r="P279" s="191"/>
      <c r="Q279" s="189"/>
      <c r="R279" s="185"/>
      <c r="S279" s="184"/>
      <c r="T279" s="185"/>
      <c r="U279" s="189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N279" s="192">
        <v>2</v>
      </c>
    </row>
    <row r="280" spans="1:40" s="192" customFormat="1" ht="24.75" customHeight="1" x14ac:dyDescent="0.2">
      <c r="A280" s="228" t="s">
        <v>162</v>
      </c>
      <c r="B280" s="213" t="s">
        <v>428</v>
      </c>
      <c r="C280" s="153" t="s">
        <v>422</v>
      </c>
      <c r="D280" s="154" t="s">
        <v>423</v>
      </c>
      <c r="E280" s="160">
        <v>1</v>
      </c>
      <c r="F280" s="155"/>
      <c r="G280" s="155"/>
      <c r="H280" s="156"/>
      <c r="I280" s="157"/>
      <c r="J280" s="179" t="s">
        <v>414</v>
      </c>
      <c r="K280" s="187"/>
      <c r="L280" s="188"/>
      <c r="M280" s="189"/>
      <c r="N280" s="190"/>
      <c r="O280" s="191"/>
      <c r="P280" s="191"/>
      <c r="Q280" s="189"/>
      <c r="R280" s="185"/>
      <c r="S280" s="184"/>
      <c r="T280" s="185"/>
      <c r="U280" s="189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N280" s="192">
        <v>2</v>
      </c>
    </row>
    <row r="281" spans="1:40" s="192" customFormat="1" ht="24.75" customHeight="1" x14ac:dyDescent="0.2">
      <c r="A281" s="228" t="s">
        <v>162</v>
      </c>
      <c r="B281" s="213" t="s">
        <v>429</v>
      </c>
      <c r="C281" s="153" t="s">
        <v>424</v>
      </c>
      <c r="D281" s="154" t="s">
        <v>425</v>
      </c>
      <c r="E281" s="160">
        <v>1</v>
      </c>
      <c r="F281" s="155"/>
      <c r="G281" s="155"/>
      <c r="H281" s="156"/>
      <c r="I281" s="157"/>
      <c r="J281" s="179" t="s">
        <v>414</v>
      </c>
      <c r="K281" s="187"/>
      <c r="L281" s="188"/>
      <c r="M281" s="189"/>
      <c r="N281" s="190"/>
      <c r="O281" s="191"/>
      <c r="P281" s="191"/>
      <c r="Q281" s="189"/>
      <c r="R281" s="185"/>
      <c r="S281" s="184"/>
      <c r="T281" s="185"/>
      <c r="U281" s="189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N281" s="192">
        <v>2</v>
      </c>
    </row>
    <row r="282" spans="1:40" x14ac:dyDescent="0.2">
      <c r="A282" s="228" t="s">
        <v>162</v>
      </c>
      <c r="B282" s="213" t="s">
        <v>889</v>
      </c>
      <c r="C282" s="159"/>
      <c r="D282" s="160" t="s">
        <v>890</v>
      </c>
      <c r="E282" s="160">
        <v>20</v>
      </c>
      <c r="F282" s="161"/>
      <c r="G282" s="161"/>
      <c r="H282" s="162"/>
      <c r="I282" s="214"/>
      <c r="J282" s="158" t="s">
        <v>417</v>
      </c>
      <c r="K282" s="60"/>
      <c r="L282" s="24"/>
      <c r="M282" s="25"/>
      <c r="N282" s="132"/>
      <c r="O282" s="26"/>
      <c r="P282" s="45"/>
      <c r="Q282" s="34"/>
      <c r="R282" s="30"/>
      <c r="S282" s="36"/>
      <c r="T282" s="31"/>
      <c r="U282" s="23"/>
      <c r="V282" s="133"/>
      <c r="W282" s="133"/>
      <c r="X282" s="133"/>
      <c r="Y282" s="133"/>
      <c r="Z282" s="133"/>
      <c r="AA282" s="133"/>
      <c r="AB282" s="133"/>
      <c r="AC282" s="133"/>
      <c r="AD282" s="133"/>
      <c r="AE282" s="133"/>
      <c r="AF282" s="133"/>
      <c r="AG282" s="151"/>
      <c r="AH282" s="151"/>
      <c r="AI282" s="151"/>
      <c r="AJ282" s="151"/>
      <c r="AK282" s="151"/>
      <c r="AL282" s="151"/>
      <c r="AM282" s="152"/>
      <c r="AN282" s="1">
        <v>2</v>
      </c>
    </row>
    <row r="283" spans="1:40" ht="15.6" customHeight="1" x14ac:dyDescent="0.2">
      <c r="A283" s="228" t="s">
        <v>162</v>
      </c>
      <c r="B283" s="213" t="s">
        <v>975</v>
      </c>
      <c r="C283" s="159">
        <v>44506</v>
      </c>
      <c r="D283" s="160" t="s">
        <v>974</v>
      </c>
      <c r="E283" s="160">
        <v>1</v>
      </c>
      <c r="F283" s="161"/>
      <c r="G283" s="161"/>
      <c r="H283" s="162"/>
      <c r="I283" s="171"/>
      <c r="J283" s="163" t="s">
        <v>273</v>
      </c>
      <c r="K283" s="60"/>
      <c r="L283" s="24"/>
      <c r="M283" s="25"/>
      <c r="N283" s="132"/>
      <c r="O283" s="26"/>
      <c r="P283" s="45"/>
      <c r="Q283" s="34"/>
      <c r="R283" s="30"/>
      <c r="S283" s="36"/>
      <c r="T283" s="31"/>
      <c r="U283" s="23"/>
      <c r="V283" s="133"/>
      <c r="W283" s="133"/>
      <c r="X283" s="133"/>
      <c r="Y283" s="133"/>
      <c r="Z283" s="133"/>
      <c r="AA283" s="133"/>
      <c r="AB283" s="133"/>
      <c r="AC283" s="133"/>
      <c r="AD283" s="133"/>
      <c r="AE283" s="133"/>
      <c r="AF283" s="133"/>
      <c r="AG283" s="151"/>
      <c r="AH283" s="151"/>
      <c r="AI283" s="151"/>
      <c r="AJ283" s="151"/>
      <c r="AK283" s="151"/>
      <c r="AL283" s="151"/>
      <c r="AM283" s="152"/>
      <c r="AN283" s="1">
        <v>2</v>
      </c>
    </row>
    <row r="284" spans="1:40" x14ac:dyDescent="0.2">
      <c r="A284" s="228" t="s">
        <v>162</v>
      </c>
      <c r="B284" s="213" t="s">
        <v>979</v>
      </c>
      <c r="C284" s="159" t="s">
        <v>976</v>
      </c>
      <c r="D284" s="160" t="s">
        <v>977</v>
      </c>
      <c r="E284" s="160">
        <v>10</v>
      </c>
      <c r="F284" s="161"/>
      <c r="G284" s="161"/>
      <c r="H284" s="162"/>
      <c r="I284" s="214" t="s">
        <v>980</v>
      </c>
      <c r="J284" s="163" t="s">
        <v>978</v>
      </c>
      <c r="K284" s="60"/>
      <c r="L284" s="24"/>
      <c r="M284" s="25"/>
      <c r="N284" s="132"/>
      <c r="O284" s="26"/>
      <c r="P284" s="45"/>
      <c r="Q284" s="34"/>
      <c r="R284" s="30"/>
      <c r="S284" s="36"/>
      <c r="T284" s="31"/>
      <c r="U284" s="23"/>
      <c r="V284" s="133"/>
      <c r="W284" s="133"/>
      <c r="X284" s="133"/>
      <c r="Y284" s="133"/>
      <c r="Z284" s="133"/>
      <c r="AA284" s="133"/>
      <c r="AB284" s="133"/>
      <c r="AC284" s="133"/>
      <c r="AD284" s="133"/>
      <c r="AE284" s="133"/>
      <c r="AF284" s="133"/>
      <c r="AG284" s="151"/>
      <c r="AH284" s="151"/>
      <c r="AI284" s="151"/>
      <c r="AJ284" s="151"/>
      <c r="AK284" s="151"/>
      <c r="AL284" s="151"/>
      <c r="AM284" s="152"/>
      <c r="AN284" s="1">
        <v>2</v>
      </c>
    </row>
    <row r="285" spans="1:40" s="131" customFormat="1" ht="25.5" customHeight="1" outlineLevel="1" x14ac:dyDescent="0.2">
      <c r="A285" s="228" t="s">
        <v>162</v>
      </c>
      <c r="B285" s="213" t="s">
        <v>984</v>
      </c>
      <c r="C285" s="240" t="s">
        <v>982</v>
      </c>
      <c r="D285" s="160" t="s">
        <v>983</v>
      </c>
      <c r="E285" s="160">
        <v>5</v>
      </c>
      <c r="F285" s="161"/>
      <c r="G285" s="161"/>
      <c r="H285" s="162"/>
      <c r="I285" s="194"/>
      <c r="J285" s="179" t="s">
        <v>968</v>
      </c>
      <c r="AN285" s="63">
        <v>2</v>
      </c>
    </row>
    <row r="286" spans="1:40" ht="13.5" thickBot="1" x14ac:dyDescent="0.25">
      <c r="A286" s="129"/>
      <c r="B286" s="128"/>
      <c r="C286" s="79"/>
      <c r="D286" s="79"/>
      <c r="E286" s="80"/>
      <c r="F286" s="125"/>
      <c r="G286" s="125"/>
      <c r="H286" s="81"/>
      <c r="I286" s="82"/>
      <c r="J286" s="127"/>
      <c r="K286" s="126"/>
      <c r="L286" s="38"/>
      <c r="M286" s="37"/>
      <c r="N286" s="166"/>
      <c r="O286" s="46"/>
      <c r="P286" s="145">
        <f>O286*E286</f>
        <v>0</v>
      </c>
      <c r="Q286" s="13"/>
      <c r="R286" s="32"/>
      <c r="S286" s="97" t="str">
        <f>IF(P286=R286,"NIE","TAK")</f>
        <v>NIE</v>
      </c>
      <c r="T286" s="33">
        <f>P286-R286</f>
        <v>0</v>
      </c>
      <c r="U286" s="37"/>
      <c r="V286" s="116"/>
      <c r="W286" s="116"/>
      <c r="X286" s="116"/>
      <c r="Y286" s="116"/>
      <c r="Z286" s="116"/>
      <c r="AA286" s="116"/>
      <c r="AB286" s="116"/>
      <c r="AC286" s="116"/>
      <c r="AD286" s="116"/>
      <c r="AE286" s="116"/>
      <c r="AF286" s="116"/>
      <c r="AG286" s="116"/>
      <c r="AH286" s="116"/>
      <c r="AI286" s="116"/>
      <c r="AJ286" s="116"/>
      <c r="AK286" s="116"/>
      <c r="AL286" s="116"/>
      <c r="AM286" s="117"/>
    </row>
    <row r="287" spans="1:40" ht="13.5" thickBot="1" x14ac:dyDescent="0.25">
      <c r="A287" s="134"/>
      <c r="B287" s="134"/>
      <c r="C287" s="4"/>
      <c r="D287" s="4"/>
      <c r="E287" s="135"/>
      <c r="F287" s="136"/>
      <c r="G287" s="136"/>
      <c r="H287" s="137"/>
      <c r="I287" s="4"/>
      <c r="J287" s="4"/>
      <c r="L287" s="138"/>
      <c r="N287" s="167"/>
      <c r="O287" s="139"/>
      <c r="P287" s="149"/>
      <c r="Q287" s="146"/>
      <c r="R287" s="150"/>
      <c r="S287" s="147"/>
      <c r="T287" s="148"/>
      <c r="V287" s="140"/>
      <c r="W287" s="140"/>
      <c r="X287" s="140"/>
      <c r="Y287" s="140"/>
      <c r="Z287" s="140"/>
      <c r="AA287" s="140"/>
      <c r="AB287" s="140"/>
      <c r="AC287" s="140"/>
      <c r="AD287" s="140"/>
      <c r="AE287" s="140"/>
      <c r="AF287" s="140"/>
      <c r="AG287" s="140"/>
      <c r="AH287" s="140"/>
      <c r="AI287" s="140"/>
      <c r="AJ287" s="140"/>
      <c r="AK287" s="140"/>
      <c r="AL287" s="140"/>
      <c r="AM287" s="140"/>
    </row>
    <row r="288" spans="1:40" s="2" customFormat="1" ht="15.75" thickBot="1" x14ac:dyDescent="0.25">
      <c r="A288" s="77"/>
      <c r="B288" s="77"/>
      <c r="C288" s="49"/>
      <c r="D288" s="4"/>
      <c r="E288" s="3"/>
      <c r="F288" s="47" t="s">
        <v>30</v>
      </c>
      <c r="G288" s="123">
        <f>SUM(G7:G286)</f>
        <v>163.33240277000007</v>
      </c>
      <c r="H288" s="6"/>
      <c r="I288" s="7"/>
      <c r="K288" s="7"/>
      <c r="L288" s="7"/>
      <c r="M288" s="7"/>
      <c r="N288" s="63"/>
      <c r="O288" s="71" t="s">
        <v>12</v>
      </c>
      <c r="P288" s="27">
        <f>SUM(P286:P286)</f>
        <v>0</v>
      </c>
      <c r="Q288" s="28" t="s">
        <v>20</v>
      </c>
      <c r="R288" s="35">
        <f>SUM(R286:R286)</f>
        <v>0</v>
      </c>
      <c r="S288" s="72" t="s">
        <v>19</v>
      </c>
      <c r="T288" s="96">
        <f>SUM(T286:T286)</f>
        <v>0</v>
      </c>
      <c r="U288" s="7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</row>
    <row r="289" spans="1:31" s="2" customFormat="1" ht="13.5" thickBot="1" x14ac:dyDescent="0.25">
      <c r="A289" s="77"/>
      <c r="B289" s="77"/>
      <c r="C289" s="49"/>
      <c r="D289" s="4"/>
      <c r="E289" s="3"/>
      <c r="G289" s="122"/>
      <c r="H289" s="6"/>
      <c r="I289" s="7"/>
      <c r="K289" s="7"/>
      <c r="L289" s="7"/>
      <c r="M289" s="7"/>
      <c r="N289" s="63"/>
      <c r="O289" s="71"/>
      <c r="P289" s="50"/>
      <c r="Q289" s="28"/>
      <c r="R289" s="51"/>
      <c r="S289" s="72"/>
      <c r="T289" s="51"/>
      <c r="U289" s="7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</row>
    <row r="290" spans="1:31" s="2" customFormat="1" ht="13.5" thickBot="1" x14ac:dyDescent="0.25">
      <c r="A290" s="77"/>
      <c r="B290" s="77"/>
      <c r="C290" s="95" t="s">
        <v>64</v>
      </c>
      <c r="D290" s="22" t="s">
        <v>891</v>
      </c>
      <c r="E290" s="3"/>
      <c r="F290" s="47" t="s">
        <v>30</v>
      </c>
      <c r="G290" s="124">
        <f>SUBTOTAL(9,G8:G286)</f>
        <v>163.33240277000007</v>
      </c>
      <c r="H290" s="6"/>
      <c r="I290" s="7"/>
      <c r="J290" s="7"/>
      <c r="K290" s="7"/>
      <c r="L290" s="7"/>
      <c r="M290" s="7"/>
      <c r="N290" s="63"/>
      <c r="O290" s="18"/>
      <c r="P290" s="130">
        <f>SUBTOTAL(9,P286:P286)</f>
        <v>0</v>
      </c>
      <c r="Q290" s="7"/>
      <c r="R290" s="9"/>
      <c r="S290" s="9"/>
      <c r="T290" s="9"/>
      <c r="U290" s="7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</row>
    <row r="291" spans="1:31" s="2" customFormat="1" ht="13.5" thickBot="1" x14ac:dyDescent="0.25">
      <c r="A291" s="77"/>
      <c r="B291" s="77"/>
      <c r="C291" s="95" t="s">
        <v>63</v>
      </c>
      <c r="D291" s="22" t="s">
        <v>891</v>
      </c>
      <c r="E291" s="3"/>
      <c r="F291" s="86"/>
      <c r="G291" s="86"/>
      <c r="H291" s="6"/>
      <c r="I291" s="7"/>
      <c r="J291" s="7"/>
      <c r="K291" s="7"/>
      <c r="L291" s="7"/>
      <c r="M291" s="7"/>
      <c r="N291" s="63"/>
      <c r="O291" s="18"/>
      <c r="P291" s="21"/>
      <c r="Q291" s="7"/>
      <c r="R291" s="9"/>
      <c r="S291" s="9"/>
      <c r="T291" s="9"/>
      <c r="U291" s="7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</row>
    <row r="292" spans="1:31" s="2" customFormat="1" ht="39" thickBot="1" x14ac:dyDescent="0.25">
      <c r="A292" s="77"/>
      <c r="B292" s="77"/>
      <c r="C292" s="259" t="s">
        <v>45</v>
      </c>
      <c r="D292" s="259"/>
      <c r="E292" s="3"/>
      <c r="F292" s="87" t="s">
        <v>41</v>
      </c>
      <c r="G292" s="47"/>
      <c r="H292" s="6"/>
      <c r="I292" s="7"/>
      <c r="J292" s="7"/>
      <c r="K292" s="7"/>
      <c r="L292" s="7"/>
      <c r="M292" s="7"/>
      <c r="N292" s="63"/>
      <c r="O292" s="18"/>
      <c r="P292" s="21"/>
      <c r="Q292" s="7"/>
      <c r="R292" s="9"/>
      <c r="S292" s="9"/>
      <c r="T292" s="9"/>
      <c r="U292" s="7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</row>
    <row r="293" spans="1:31" s="2" customFormat="1" x14ac:dyDescent="0.2">
      <c r="A293" s="77"/>
      <c r="B293" s="77"/>
      <c r="C293" s="259"/>
      <c r="D293" s="259"/>
      <c r="E293" s="3"/>
      <c r="F293" s="5"/>
      <c r="G293" s="6"/>
      <c r="H293" s="6"/>
      <c r="I293" s="39" t="s">
        <v>14</v>
      </c>
      <c r="J293" s="7"/>
      <c r="K293" s="7"/>
      <c r="L293" s="7"/>
      <c r="M293" s="7"/>
      <c r="N293" s="63"/>
      <c r="O293" s="18"/>
      <c r="P293" s="21"/>
      <c r="Q293" s="7"/>
      <c r="R293" s="9"/>
      <c r="S293" s="9"/>
      <c r="T293" s="9"/>
      <c r="U293" s="7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</row>
    <row r="294" spans="1:31" s="2" customFormat="1" x14ac:dyDescent="0.2">
      <c r="A294" s="77"/>
      <c r="B294" s="77"/>
      <c r="C294" s="259"/>
      <c r="D294" s="259"/>
      <c r="E294" s="83"/>
      <c r="F294" s="83"/>
      <c r="G294" s="260" t="s">
        <v>370</v>
      </c>
      <c r="H294" s="261"/>
      <c r="I294" s="261"/>
      <c r="J294" s="262"/>
      <c r="K294" s="7"/>
      <c r="L294" s="7"/>
      <c r="N294" s="76"/>
      <c r="O294" s="21"/>
      <c r="P294" s="7"/>
      <c r="Q294" s="7"/>
      <c r="R294" s="1"/>
      <c r="S294" s="1"/>
      <c r="T294" s="1"/>
    </row>
    <row r="295" spans="1:31" x14ac:dyDescent="0.2">
      <c r="B295" s="77"/>
      <c r="C295" s="259"/>
      <c r="D295" s="259"/>
      <c r="E295" s="85"/>
      <c r="F295" s="85"/>
      <c r="G295" s="263"/>
      <c r="H295" s="264"/>
      <c r="I295" s="264"/>
      <c r="J295" s="265"/>
      <c r="K295" s="10"/>
      <c r="L295" s="10"/>
      <c r="M295" s="2"/>
      <c r="N295" s="73"/>
      <c r="O295" s="168"/>
      <c r="P295" s="2"/>
      <c r="Q295" s="2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 x14ac:dyDescent="0.2">
      <c r="B296" s="77"/>
      <c r="C296" s="259"/>
      <c r="D296" s="259"/>
      <c r="E296" s="89"/>
      <c r="F296" s="85"/>
      <c r="G296" s="263"/>
      <c r="H296" s="264"/>
      <c r="I296" s="264"/>
      <c r="J296" s="265"/>
      <c r="K296" s="10"/>
      <c r="L296" s="10"/>
      <c r="M296" s="2"/>
      <c r="N296" s="73"/>
      <c r="O296" s="168"/>
      <c r="P296" s="2"/>
      <c r="Q296" s="2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ht="15" x14ac:dyDescent="0.2">
      <c r="B297" s="77"/>
      <c r="D297" s="84"/>
      <c r="E297" s="85"/>
      <c r="F297" s="85"/>
      <c r="G297" s="263"/>
      <c r="H297" s="264"/>
      <c r="I297" s="264"/>
      <c r="J297" s="265"/>
      <c r="K297" s="10"/>
      <c r="L297" s="10"/>
      <c r="M297" s="2"/>
      <c r="N297" s="12"/>
      <c r="O297" s="169"/>
      <c r="P297" s="2"/>
      <c r="Q297" s="2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ht="15" x14ac:dyDescent="0.2">
      <c r="B298" s="77"/>
      <c r="D298" s="84"/>
      <c r="E298" s="85"/>
      <c r="F298" s="85"/>
      <c r="G298" s="263"/>
      <c r="H298" s="264"/>
      <c r="I298" s="264"/>
      <c r="J298" s="265"/>
      <c r="K298" s="10"/>
      <c r="L298" s="10"/>
      <c r="M298" s="2"/>
      <c r="N298" s="12"/>
      <c r="O298" s="169"/>
      <c r="P298" s="2"/>
      <c r="Q298" s="2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ht="13.5" thickBot="1" x14ac:dyDescent="0.25">
      <c r="A299" s="175"/>
      <c r="B299" s="98"/>
      <c r="C299" s="98"/>
      <c r="D299" s="98"/>
      <c r="E299" s="99"/>
      <c r="F299" s="99"/>
      <c r="G299" s="263"/>
      <c r="H299" s="264"/>
      <c r="I299" s="264"/>
      <c r="J299" s="265"/>
      <c r="K299" s="10"/>
      <c r="L299" s="10"/>
      <c r="M299" s="2"/>
      <c r="N299" s="12"/>
      <c r="O299" s="169"/>
      <c r="P299" s="2"/>
      <c r="Q299" s="2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ht="21.75" x14ac:dyDescent="0.2">
      <c r="A300" s="176" t="s">
        <v>46</v>
      </c>
      <c r="B300" s="101" t="s">
        <v>47</v>
      </c>
      <c r="C300" s="101" t="s">
        <v>48</v>
      </c>
      <c r="D300" s="101" t="s">
        <v>49</v>
      </c>
      <c r="E300" s="113" t="s">
        <v>50</v>
      </c>
      <c r="F300" s="99"/>
      <c r="G300" s="263"/>
      <c r="H300" s="264"/>
      <c r="I300" s="264"/>
      <c r="J300" s="265"/>
    </row>
    <row r="301" spans="1:31" x14ac:dyDescent="0.2">
      <c r="A301" s="102">
        <v>1</v>
      </c>
      <c r="B301" s="90" t="s">
        <v>51</v>
      </c>
      <c r="C301" s="91" t="s">
        <v>60</v>
      </c>
      <c r="D301" s="90"/>
      <c r="E301" s="103"/>
      <c r="F301" s="100"/>
      <c r="G301" s="263"/>
      <c r="H301" s="264"/>
      <c r="I301" s="264"/>
      <c r="J301" s="265"/>
    </row>
    <row r="302" spans="1:31" x14ac:dyDescent="0.2">
      <c r="A302" s="102">
        <v>2</v>
      </c>
      <c r="B302" s="90" t="s">
        <v>51</v>
      </c>
      <c r="C302" s="91" t="s">
        <v>52</v>
      </c>
      <c r="D302" s="90"/>
      <c r="E302" s="103"/>
      <c r="F302" s="100"/>
      <c r="G302" s="263"/>
      <c r="H302" s="264"/>
      <c r="I302" s="264"/>
      <c r="J302" s="265"/>
    </row>
    <row r="303" spans="1:31" x14ac:dyDescent="0.2">
      <c r="A303" s="102">
        <v>3</v>
      </c>
      <c r="B303" s="90"/>
      <c r="C303" s="91" t="s">
        <v>53</v>
      </c>
      <c r="D303" s="94">
        <f>D304+D305</f>
        <v>0</v>
      </c>
      <c r="E303" s="104">
        <f>E304+E305</f>
        <v>0</v>
      </c>
      <c r="F303" s="100"/>
      <c r="G303" s="263"/>
      <c r="H303" s="264"/>
      <c r="I303" s="264"/>
      <c r="J303" s="265"/>
    </row>
    <row r="304" spans="1:31" x14ac:dyDescent="0.2">
      <c r="A304" s="102">
        <v>4</v>
      </c>
      <c r="B304" s="90" t="s">
        <v>54</v>
      </c>
      <c r="C304" s="91" t="s">
        <v>55</v>
      </c>
      <c r="D304" s="90"/>
      <c r="E304" s="104"/>
      <c r="F304" s="100"/>
      <c r="G304" s="263"/>
      <c r="H304" s="264"/>
      <c r="I304" s="264"/>
      <c r="J304" s="265"/>
    </row>
    <row r="305" spans="1:31" x14ac:dyDescent="0.2">
      <c r="A305" s="102">
        <v>5</v>
      </c>
      <c r="B305" s="90" t="s">
        <v>51</v>
      </c>
      <c r="C305" s="91" t="s">
        <v>56</v>
      </c>
      <c r="D305" s="90"/>
      <c r="E305" s="104"/>
      <c r="F305" s="100"/>
      <c r="G305" s="266"/>
      <c r="H305" s="267"/>
      <c r="I305" s="267"/>
      <c r="J305" s="268"/>
    </row>
    <row r="306" spans="1:31" x14ac:dyDescent="0.2">
      <c r="A306" s="102">
        <v>6</v>
      </c>
      <c r="B306" s="90" t="s">
        <v>54</v>
      </c>
      <c r="C306" s="91" t="s">
        <v>65</v>
      </c>
      <c r="D306" s="90"/>
      <c r="E306" s="104"/>
      <c r="F306" s="100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ht="25.5" x14ac:dyDescent="0.2">
      <c r="A307" s="102">
        <v>7</v>
      </c>
      <c r="B307" s="90" t="s">
        <v>57</v>
      </c>
      <c r="C307" s="92" t="s">
        <v>66</v>
      </c>
      <c r="D307" s="90"/>
      <c r="E307" s="104"/>
      <c r="F307" s="100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ht="25.5" x14ac:dyDescent="0.2">
      <c r="A308" s="102">
        <v>8</v>
      </c>
      <c r="B308" s="90" t="s">
        <v>57</v>
      </c>
      <c r="C308" s="92" t="s">
        <v>67</v>
      </c>
      <c r="D308" s="90"/>
      <c r="E308" s="104"/>
      <c r="F308" s="100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 x14ac:dyDescent="0.2">
      <c r="A309" s="102">
        <v>9</v>
      </c>
      <c r="B309" s="90" t="s">
        <v>54</v>
      </c>
      <c r="C309" s="91" t="s">
        <v>62</v>
      </c>
      <c r="D309" s="90"/>
      <c r="E309" s="104"/>
      <c r="F309" s="100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 x14ac:dyDescent="0.2">
      <c r="A310" s="102">
        <v>10</v>
      </c>
      <c r="B310" s="90" t="s">
        <v>51</v>
      </c>
      <c r="C310" s="91" t="s">
        <v>58</v>
      </c>
      <c r="D310" s="90"/>
      <c r="E310" s="104"/>
      <c r="F310" s="100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ht="13.5" thickBot="1" x14ac:dyDescent="0.25">
      <c r="A311" s="105">
        <v>11</v>
      </c>
      <c r="B311" s="106" t="s">
        <v>51</v>
      </c>
      <c r="C311" s="107" t="s">
        <v>61</v>
      </c>
      <c r="D311" s="108"/>
      <c r="E311" s="109"/>
      <c r="F311" s="100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</row>
    <row r="312" spans="1:31" ht="13.5" thickBot="1" x14ac:dyDescent="0.25">
      <c r="A312" s="177"/>
      <c r="B312" s="131"/>
      <c r="C312" s="93" t="s">
        <v>59</v>
      </c>
      <c r="D312" s="110">
        <f>D301+D302+D311+(D309*D306)+(D309*D307)+(D309*D308)</f>
        <v>0</v>
      </c>
      <c r="E312" s="110">
        <f>E301+E302+E311+(E309*E306)+(E309*E307)+(E309*E308)</f>
        <v>0</v>
      </c>
      <c r="F312" s="100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</row>
    <row r="313" spans="1:31" x14ac:dyDescent="0.2">
      <c r="B313" s="77"/>
      <c r="C313" s="111" t="s">
        <v>68</v>
      </c>
      <c r="E313" s="112" t="e">
        <f>E311/E304</f>
        <v>#DIV/0!</v>
      </c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</row>
    <row r="314" spans="1:31" x14ac:dyDescent="0.2">
      <c r="B314" s="77"/>
      <c r="C314" s="111" t="s">
        <v>69</v>
      </c>
      <c r="E314" s="170" t="e">
        <f>1-E304/E310</f>
        <v>#DIV/0!</v>
      </c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</row>
    <row r="315" spans="1:31" x14ac:dyDescent="0.2">
      <c r="B315" s="77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</row>
    <row r="316" spans="1:31" x14ac:dyDescent="0.2">
      <c r="B316" s="77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</row>
    <row r="317" spans="1:31" x14ac:dyDescent="0.2">
      <c r="B317" s="77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</row>
    <row r="318" spans="1:31" x14ac:dyDescent="0.2">
      <c r="B318" s="77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</row>
    <row r="319" spans="1:31" x14ac:dyDescent="0.2">
      <c r="B319" s="77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</row>
    <row r="320" spans="1:31" x14ac:dyDescent="0.2">
      <c r="B320" s="77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</row>
    <row r="321" spans="2:31" x14ac:dyDescent="0.2">
      <c r="B321" s="77"/>
      <c r="R321" s="74"/>
      <c r="S321" s="74"/>
      <c r="T321" s="74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</row>
    <row r="322" spans="2:31" x14ac:dyDescent="0.2">
      <c r="B322" s="77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</row>
    <row r="323" spans="2:31" x14ac:dyDescent="0.2">
      <c r="B323" s="77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</row>
    <row r="324" spans="2:31" x14ac:dyDescent="0.2">
      <c r="B324" s="77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</row>
    <row r="325" spans="2:31" x14ac:dyDescent="0.2">
      <c r="B325" s="77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</row>
    <row r="326" spans="2:31" x14ac:dyDescent="0.2">
      <c r="B326" s="77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</row>
    <row r="327" spans="2:31" x14ac:dyDescent="0.2">
      <c r="B327" s="77"/>
      <c r="R327" s="74"/>
      <c r="S327" s="74"/>
      <c r="T327" s="74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</row>
    <row r="328" spans="2:31" x14ac:dyDescent="0.2">
      <c r="B328" s="77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</row>
    <row r="329" spans="2:31" x14ac:dyDescent="0.2">
      <c r="B329" s="77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</row>
    <row r="330" spans="2:31" x14ac:dyDescent="0.2">
      <c r="B330" s="77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</row>
    <row r="331" spans="2:31" x14ac:dyDescent="0.2">
      <c r="B331" s="77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</row>
    <row r="332" spans="2:31" x14ac:dyDescent="0.2">
      <c r="B332" s="77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</row>
    <row r="333" spans="2:31" x14ac:dyDescent="0.2">
      <c r="B333" s="77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</row>
    <row r="334" spans="2:31" x14ac:dyDescent="0.2">
      <c r="B334" s="77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</row>
    <row r="335" spans="2:31" x14ac:dyDescent="0.2">
      <c r="B335" s="77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</row>
    <row r="336" spans="2:31" x14ac:dyDescent="0.2">
      <c r="B336" s="77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</row>
    <row r="337" spans="2:31" x14ac:dyDescent="0.2">
      <c r="B337" s="77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</row>
    <row r="338" spans="2:31" x14ac:dyDescent="0.2">
      <c r="B338" s="7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</row>
    <row r="339" spans="2:31" x14ac:dyDescent="0.2">
      <c r="B339" s="7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</row>
    <row r="340" spans="2:31" x14ac:dyDescent="0.2">
      <c r="B340" s="7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</row>
    <row r="341" spans="2:31" x14ac:dyDescent="0.2">
      <c r="B341" s="7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</row>
    <row r="342" spans="2:31" x14ac:dyDescent="0.2">
      <c r="B342" s="7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</row>
    <row r="343" spans="2:31" x14ac:dyDescent="0.2">
      <c r="B343" s="7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</row>
    <row r="344" spans="2:31" x14ac:dyDescent="0.2">
      <c r="B344" s="7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</row>
    <row r="345" spans="2:31" x14ac:dyDescent="0.2">
      <c r="B345" s="7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</row>
    <row r="346" spans="2:31" x14ac:dyDescent="0.2">
      <c r="B346" s="7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</row>
    <row r="347" spans="2:31" x14ac:dyDescent="0.2">
      <c r="B347" s="7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</row>
    <row r="348" spans="2:31" x14ac:dyDescent="0.2">
      <c r="B348" s="7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</row>
    <row r="349" spans="2:31" x14ac:dyDescent="0.2">
      <c r="B349" s="7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</row>
    <row r="350" spans="2:31" x14ac:dyDescent="0.2">
      <c r="B350" s="7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</row>
    <row r="351" spans="2:31" x14ac:dyDescent="0.2">
      <c r="B351" s="7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</row>
    <row r="352" spans="2:31" x14ac:dyDescent="0.2">
      <c r="B352" s="7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</row>
    <row r="353" spans="2:31" x14ac:dyDescent="0.2">
      <c r="B353" s="7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</row>
    <row r="354" spans="2:31" x14ac:dyDescent="0.2">
      <c r="B354" s="77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</row>
    <row r="355" spans="2:31" x14ac:dyDescent="0.2">
      <c r="B355" s="77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</row>
    <row r="356" spans="2:31" x14ac:dyDescent="0.2">
      <c r="B356" s="77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</row>
    <row r="357" spans="2:31" x14ac:dyDescent="0.2">
      <c r="B357" s="77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</row>
    <row r="358" spans="2:31" x14ac:dyDescent="0.2">
      <c r="B358" s="77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</row>
    <row r="359" spans="2:31" x14ac:dyDescent="0.2">
      <c r="B359" s="77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</row>
    <row r="360" spans="2:31" x14ac:dyDescent="0.2">
      <c r="B360" s="77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</row>
    <row r="361" spans="2:31" x14ac:dyDescent="0.2">
      <c r="B361" s="77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</row>
    <row r="362" spans="2:31" x14ac:dyDescent="0.2">
      <c r="B362" s="77"/>
      <c r="S362" s="75" t="e">
        <f>#REF!-R362</f>
        <v>#REF!</v>
      </c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</row>
    <row r="363" spans="2:31" x14ac:dyDescent="0.2">
      <c r="B363" s="77"/>
      <c r="S363" s="75" t="e">
        <f>#REF!-R363</f>
        <v>#REF!</v>
      </c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</row>
    <row r="364" spans="2:31" x14ac:dyDescent="0.2">
      <c r="B364" s="77"/>
      <c r="S364" s="75" t="e">
        <f>#REF!-R364</f>
        <v>#REF!</v>
      </c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</row>
    <row r="365" spans="2:31" x14ac:dyDescent="0.2">
      <c r="B365" s="77"/>
      <c r="S365" s="75" t="e">
        <f>#REF!-R365</f>
        <v>#REF!</v>
      </c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</row>
    <row r="366" spans="2:31" x14ac:dyDescent="0.2">
      <c r="B366" s="77"/>
      <c r="S366" s="75" t="e">
        <f>#REF!-R366</f>
        <v>#REF!</v>
      </c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</row>
    <row r="367" spans="2:31" x14ac:dyDescent="0.2">
      <c r="B367" s="77"/>
      <c r="S367" s="75" t="e">
        <f>#REF!-R367</f>
        <v>#REF!</v>
      </c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</row>
    <row r="368" spans="2:31" x14ac:dyDescent="0.2">
      <c r="B368" s="77"/>
      <c r="S368" s="75" t="e">
        <f>#REF!-R368</f>
        <v>#REF!</v>
      </c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</row>
    <row r="369" spans="2:31" x14ac:dyDescent="0.2">
      <c r="B369" s="77"/>
      <c r="S369" s="75" t="e">
        <f>#REF!-R369</f>
        <v>#REF!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</row>
    <row r="370" spans="2:31" x14ac:dyDescent="0.2">
      <c r="B370" s="77"/>
      <c r="S370" s="75" t="e">
        <f>#REF!-R370</f>
        <v>#REF!</v>
      </c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</row>
    <row r="371" spans="2:31" x14ac:dyDescent="0.2">
      <c r="B371" s="77"/>
      <c r="S371" s="75" t="e">
        <f>#REF!-R371</f>
        <v>#REF!</v>
      </c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</row>
    <row r="372" spans="2:31" x14ac:dyDescent="0.2">
      <c r="B372" s="77"/>
      <c r="S372" s="75" t="e">
        <f>#REF!-R372</f>
        <v>#REF!</v>
      </c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</row>
    <row r="373" spans="2:31" x14ac:dyDescent="0.2">
      <c r="B373" s="77"/>
      <c r="S373" s="75" t="e">
        <f>#REF!-R373</f>
        <v>#REF!</v>
      </c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</row>
    <row r="374" spans="2:31" x14ac:dyDescent="0.2">
      <c r="B374" s="77"/>
      <c r="S374" s="75" t="e">
        <f>#REF!-R374</f>
        <v>#REF!</v>
      </c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</row>
    <row r="375" spans="2:31" x14ac:dyDescent="0.2">
      <c r="B375" s="77"/>
      <c r="S375" s="75" t="e">
        <f>#REF!-R375</f>
        <v>#REF!</v>
      </c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</row>
    <row r="376" spans="2:31" x14ac:dyDescent="0.2">
      <c r="B376" s="77"/>
      <c r="S376" s="75" t="e">
        <f>#REF!-R376</f>
        <v>#REF!</v>
      </c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</row>
    <row r="377" spans="2:31" x14ac:dyDescent="0.2">
      <c r="B377" s="77"/>
      <c r="S377" s="75" t="e">
        <f>#REF!-R377</f>
        <v>#REF!</v>
      </c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</row>
    <row r="378" spans="2:31" x14ac:dyDescent="0.2">
      <c r="B378" s="77"/>
      <c r="S378" s="75" t="e">
        <f>#REF!-R378</f>
        <v>#REF!</v>
      </c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</row>
    <row r="379" spans="2:31" x14ac:dyDescent="0.2">
      <c r="B379" s="77"/>
      <c r="S379" s="75" t="e">
        <f>#REF!-R379</f>
        <v>#REF!</v>
      </c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</row>
    <row r="380" spans="2:31" x14ac:dyDescent="0.2">
      <c r="B380" s="77"/>
      <c r="S380" s="75" t="e">
        <f>#REF!-R380</f>
        <v>#REF!</v>
      </c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</row>
    <row r="381" spans="2:31" x14ac:dyDescent="0.2">
      <c r="B381" s="77"/>
      <c r="S381" s="75" t="e">
        <f>#REF!-R381</f>
        <v>#REF!</v>
      </c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</row>
    <row r="382" spans="2:31" x14ac:dyDescent="0.2">
      <c r="B382" s="77"/>
      <c r="S382" s="75" t="e">
        <f>#REF!-R382</f>
        <v>#REF!</v>
      </c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</row>
    <row r="383" spans="2:31" x14ac:dyDescent="0.2">
      <c r="B383" s="77"/>
      <c r="S383" s="75" t="e">
        <f>#REF!-R383</f>
        <v>#REF!</v>
      </c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</row>
    <row r="384" spans="2:31" x14ac:dyDescent="0.2">
      <c r="S384" s="75" t="e">
        <f>#REF!-R384</f>
        <v>#REF!</v>
      </c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</row>
    <row r="385" spans="2:31" x14ac:dyDescent="0.2">
      <c r="S385" s="75" t="e">
        <f>#REF!-R385</f>
        <v>#REF!</v>
      </c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</row>
    <row r="386" spans="2:31" x14ac:dyDescent="0.2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S386" s="75" t="e">
        <f>#REF!-R386</f>
        <v>#REF!</v>
      </c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</row>
    <row r="387" spans="2:31" x14ac:dyDescent="0.2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S387" s="75" t="e">
        <f>#REF!-R387</f>
        <v>#REF!</v>
      </c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</row>
    <row r="388" spans="2:31" x14ac:dyDescent="0.2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63"/>
      <c r="S388" s="63"/>
      <c r="T388" s="63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</row>
    <row r="389" spans="2:31" x14ac:dyDescent="0.2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63"/>
      <c r="S389" s="63"/>
      <c r="T389" s="63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</row>
    <row r="390" spans="2:31" x14ac:dyDescent="0.2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63"/>
      <c r="S390" s="63"/>
      <c r="T390" s="63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</row>
    <row r="392" spans="2:31" x14ac:dyDescent="0.2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74"/>
      <c r="S392" s="74"/>
      <c r="T392" s="74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</row>
    <row r="393" spans="2:31" x14ac:dyDescent="0.2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74"/>
      <c r="S393" s="74"/>
      <c r="T393" s="74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</row>
    <row r="394" spans="2:31" x14ac:dyDescent="0.2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74"/>
      <c r="S394" s="74"/>
      <c r="T394" s="74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</row>
    <row r="395" spans="2:31" x14ac:dyDescent="0.2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74"/>
      <c r="S395" s="74"/>
      <c r="T395" s="74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</row>
    <row r="396" spans="2:31" x14ac:dyDescent="0.2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74"/>
      <c r="S396" s="74"/>
      <c r="T396" s="74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</row>
    <row r="397" spans="2:31" x14ac:dyDescent="0.2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74"/>
      <c r="S397" s="74"/>
      <c r="T397" s="74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</row>
  </sheetData>
  <sheetProtection formatCells="0" sort="0" autoFilter="0" pivotTables="0"/>
  <autoFilter ref="A6:CO286"/>
  <mergeCells count="10">
    <mergeCell ref="C292:D296"/>
    <mergeCell ref="G294:J305"/>
    <mergeCell ref="G1:H1"/>
    <mergeCell ref="G2:I2"/>
    <mergeCell ref="D4:F4"/>
    <mergeCell ref="Q4:R4"/>
    <mergeCell ref="C5:D5"/>
    <mergeCell ref="F5:G5"/>
    <mergeCell ref="K5:L5"/>
    <mergeCell ref="O5:P5"/>
  </mergeCells>
  <conditionalFormatting sqref="N282:N287">
    <cfRule type="expression" dxfId="446" priority="187" stopIfTrue="1">
      <formula>IF(AND(ISBLANK(N282),IF(L282&lt;TODAY(),TRUE,FALSE))=FALSE,FALSE,TRUE)</formula>
    </cfRule>
    <cfRule type="expression" dxfId="445" priority="188" stopIfTrue="1">
      <formula>IF(AND(IF(M282="",FALSE,TRUE),IF(N282="",FALSE,TRUE))=TRUE,TRUE,FALSE)</formula>
    </cfRule>
  </conditionalFormatting>
  <conditionalFormatting sqref="O282:O287">
    <cfRule type="expression" dxfId="444" priority="186" stopIfTrue="1">
      <formula>IF(OR(ISNUMBER(O282),ISBLANK(F282)),FALSE,TRUE)</formula>
    </cfRule>
  </conditionalFormatting>
  <conditionalFormatting sqref="L282:L287">
    <cfRule type="expression" dxfId="443" priority="183" stopIfTrue="1">
      <formula>IF(AND(IF(L282&lt;TODAY(),TRUE,FALSE),ISBLANK(N282)),TRUE,FALSE)</formula>
    </cfRule>
    <cfRule type="expression" dxfId="442" priority="184" stopIfTrue="1">
      <formula>IF(AND(IF(M282="",FALSE,TRUE),IF(N282="",FALSE,TRUE))=TRUE,TRUE,FALSE)</formula>
    </cfRule>
    <cfRule type="expression" dxfId="441" priority="185" stopIfTrue="1">
      <formula>IF(AND(IF(L282&lt;TODAY(),TRUE,FALSE),ISBLANK(M282)),TRUE,FALSE)</formula>
    </cfRule>
  </conditionalFormatting>
  <conditionalFormatting sqref="M282:M287">
    <cfRule type="expression" dxfId="440" priority="180" stopIfTrue="1">
      <formula>IF(AND(IF(M282="",FALSE,TRUE),IF(N282="",FALSE,TRUE))=TRUE,TRUE,FALSE)</formula>
    </cfRule>
    <cfRule type="expression" dxfId="439" priority="181" stopIfTrue="1">
      <formula>IF(AND(ISBLANK(M282),IF(L282&lt;TODAY(),TRUE,FALSE))=FALSE,FALSE,TRUE)</formula>
    </cfRule>
    <cfRule type="expression" dxfId="438" priority="182" stopIfTrue="1">
      <formula>IF(AND(IF(L282="",FALSE,TRUE),IF(M282="",FALSE,TRUE))=FALSE,TRUE,FALSE)</formula>
    </cfRule>
  </conditionalFormatting>
  <conditionalFormatting sqref="I286:I287 Q251 Q268:Q287">
    <cfRule type="cellIs" dxfId="437" priority="179" stopIfTrue="1" operator="greaterThan">
      <formula>0</formula>
    </cfRule>
  </conditionalFormatting>
  <conditionalFormatting sqref="P288:P289">
    <cfRule type="expression" dxfId="436" priority="178" stopIfTrue="1">
      <formula>IF(P288="",FALSE,TRUE)</formula>
    </cfRule>
  </conditionalFormatting>
  <conditionalFormatting sqref="I274:I285 I8:I267">
    <cfRule type="cellIs" dxfId="435" priority="177" stopIfTrue="1" operator="greaterThan">
      <formula>0</formula>
    </cfRule>
  </conditionalFormatting>
  <conditionalFormatting sqref="N268:N273">
    <cfRule type="expression" dxfId="434" priority="140" stopIfTrue="1">
      <formula>IF(AND(ISBLANK(N268),IF(L268&lt;TODAY(),TRUE,FALSE))=FALSE,FALSE,TRUE)</formula>
    </cfRule>
    <cfRule type="expression" dxfId="433" priority="141" stopIfTrue="1">
      <formula>IF(AND(IF(M268="",FALSE,TRUE),IF(N268="",FALSE,TRUE))=TRUE,TRUE,FALSE)</formula>
    </cfRule>
  </conditionalFormatting>
  <conditionalFormatting sqref="O268:O273">
    <cfRule type="expression" dxfId="432" priority="142" stopIfTrue="1">
      <formula>IF(OR(ISNUMBER(O268),ISBLANK(F268)),FALSE,TRUE)</formula>
    </cfRule>
  </conditionalFormatting>
  <conditionalFormatting sqref="L268:L273">
    <cfRule type="expression" dxfId="431" priority="143" stopIfTrue="1">
      <formula>IF(AND(IF(L268&lt;TODAY(),TRUE,FALSE),ISBLANK(N268)),TRUE,FALSE)</formula>
    </cfRule>
    <cfRule type="expression" dxfId="430" priority="144" stopIfTrue="1">
      <formula>IF(AND(IF(M268="",FALSE,TRUE),IF(N268="",FALSE,TRUE))=TRUE,TRUE,FALSE)</formula>
    </cfRule>
    <cfRule type="expression" dxfId="429" priority="145" stopIfTrue="1">
      <formula>IF(AND(IF(L268&lt;TODAY(),TRUE,FALSE),ISBLANK(M268)),TRUE,FALSE)</formula>
    </cfRule>
  </conditionalFormatting>
  <conditionalFormatting sqref="M268:M273">
    <cfRule type="expression" dxfId="428" priority="146" stopIfTrue="1">
      <formula>IF(AND(IF(M268="",FALSE,TRUE),IF(N268="",FALSE,TRUE))=TRUE,TRUE,FALSE)</formula>
    </cfRule>
    <cfRule type="expression" dxfId="427" priority="147" stopIfTrue="1">
      <formula>IF(AND(ISBLANK(M268),IF(L268&lt;TODAY(),TRUE,FALSE))=FALSE,FALSE,TRUE)</formula>
    </cfRule>
    <cfRule type="expression" dxfId="426" priority="148" stopIfTrue="1">
      <formula>IF(AND(IF(L268="",FALSE,TRUE),IF(M268="",FALSE,TRUE))=FALSE,TRUE,FALSE)</formula>
    </cfRule>
  </conditionalFormatting>
  <conditionalFormatting sqref="N274:N275">
    <cfRule type="expression" dxfId="425" priority="138" stopIfTrue="1">
      <formula>IF(AND(ISBLANK(N274),IF(L274&lt;TODAY(),TRUE,FALSE))=FALSE,FALSE,TRUE)</formula>
    </cfRule>
    <cfRule type="expression" dxfId="424" priority="139" stopIfTrue="1">
      <formula>IF(AND(IF(M274="",FALSE,TRUE),IF(N274="",FALSE,TRUE))=TRUE,TRUE,FALSE)</formula>
    </cfRule>
  </conditionalFormatting>
  <conditionalFormatting sqref="O274:O275">
    <cfRule type="expression" dxfId="423" priority="137" stopIfTrue="1">
      <formula>IF(OR(ISNUMBER(O274),ISBLANK(F274)),FALSE,TRUE)</formula>
    </cfRule>
  </conditionalFormatting>
  <conditionalFormatting sqref="L274:L275">
    <cfRule type="expression" dxfId="422" priority="134" stopIfTrue="1">
      <formula>IF(AND(IF(L274&lt;TODAY(),TRUE,FALSE),ISBLANK(N274)),TRUE,FALSE)</formula>
    </cfRule>
    <cfRule type="expression" dxfId="421" priority="135" stopIfTrue="1">
      <formula>IF(AND(IF(M274="",FALSE,TRUE),IF(N274="",FALSE,TRUE))=TRUE,TRUE,FALSE)</formula>
    </cfRule>
    <cfRule type="expression" dxfId="420" priority="136" stopIfTrue="1">
      <formula>IF(AND(IF(L274&lt;TODAY(),TRUE,FALSE),ISBLANK(M274)),TRUE,FALSE)</formula>
    </cfRule>
  </conditionalFormatting>
  <conditionalFormatting sqref="M274:M275">
    <cfRule type="expression" dxfId="419" priority="131" stopIfTrue="1">
      <formula>IF(AND(IF(M274="",FALSE,TRUE),IF(N274="",FALSE,TRUE))=TRUE,TRUE,FALSE)</formula>
    </cfRule>
    <cfRule type="expression" dxfId="418" priority="132" stopIfTrue="1">
      <formula>IF(AND(ISBLANK(M274),IF(L274&lt;TODAY(),TRUE,FALSE))=FALSE,FALSE,TRUE)</formula>
    </cfRule>
    <cfRule type="expression" dxfId="417" priority="133" stopIfTrue="1">
      <formula>IF(AND(IF(L274="",FALSE,TRUE),IF(M274="",FALSE,TRUE))=FALSE,TRUE,FALSE)</formula>
    </cfRule>
  </conditionalFormatting>
  <conditionalFormatting sqref="N276:N277">
    <cfRule type="expression" dxfId="416" priority="127" stopIfTrue="1">
      <formula>IF(AND(ISBLANK(N276),IF(L276&lt;TODAY(),TRUE,FALSE))=FALSE,FALSE,TRUE)</formula>
    </cfRule>
    <cfRule type="expression" dxfId="415" priority="128" stopIfTrue="1">
      <formula>IF(AND(IF(M276="",FALSE,TRUE),IF(N276="",FALSE,TRUE))=TRUE,TRUE,FALSE)</formula>
    </cfRule>
  </conditionalFormatting>
  <conditionalFormatting sqref="O276:O277">
    <cfRule type="expression" dxfId="414" priority="126" stopIfTrue="1">
      <formula>IF(OR(ISNUMBER(O276),ISBLANK(F276)),FALSE,TRUE)</formula>
    </cfRule>
  </conditionalFormatting>
  <conditionalFormatting sqref="L276:L277">
    <cfRule type="expression" dxfId="413" priority="123" stopIfTrue="1">
      <formula>IF(AND(IF(L276&lt;TODAY(),TRUE,FALSE),ISBLANK(N276)),TRUE,FALSE)</formula>
    </cfRule>
    <cfRule type="expression" dxfId="412" priority="124" stopIfTrue="1">
      <formula>IF(AND(IF(M276="",FALSE,TRUE),IF(N276="",FALSE,TRUE))=TRUE,TRUE,FALSE)</formula>
    </cfRule>
    <cfRule type="expression" dxfId="411" priority="125" stopIfTrue="1">
      <formula>IF(AND(IF(L276&lt;TODAY(),TRUE,FALSE),ISBLANK(M276)),TRUE,FALSE)</formula>
    </cfRule>
  </conditionalFormatting>
  <conditionalFormatting sqref="M276:M277">
    <cfRule type="expression" dxfId="410" priority="120" stopIfTrue="1">
      <formula>IF(AND(IF(M276="",FALSE,TRUE),IF(N276="",FALSE,TRUE))=TRUE,TRUE,FALSE)</formula>
    </cfRule>
    <cfRule type="expression" dxfId="409" priority="121" stopIfTrue="1">
      <formula>IF(AND(ISBLANK(M276),IF(L276&lt;TODAY(),TRUE,FALSE))=FALSE,FALSE,TRUE)</formula>
    </cfRule>
    <cfRule type="expression" dxfId="408" priority="122" stopIfTrue="1">
      <formula>IF(AND(IF(L276="",FALSE,TRUE),IF(M276="",FALSE,TRUE))=FALSE,TRUE,FALSE)</formula>
    </cfRule>
  </conditionalFormatting>
  <conditionalFormatting sqref="N278:N281">
    <cfRule type="expression" dxfId="407" priority="115" stopIfTrue="1">
      <formula>IF(AND(ISBLANK(N278),IF(L278&lt;TODAY(),TRUE,FALSE))=FALSE,FALSE,TRUE)</formula>
    </cfRule>
    <cfRule type="expression" dxfId="406" priority="116" stopIfTrue="1">
      <formula>IF(AND(IF(M278="",FALSE,TRUE),IF(N278="",FALSE,TRUE))=TRUE,TRUE,FALSE)</formula>
    </cfRule>
  </conditionalFormatting>
  <conditionalFormatting sqref="O278:O281">
    <cfRule type="expression" dxfId="405" priority="114" stopIfTrue="1">
      <formula>IF(OR(ISNUMBER(O278),ISBLANK(F278)),FALSE,TRUE)</formula>
    </cfRule>
  </conditionalFormatting>
  <conditionalFormatting sqref="L278:L281">
    <cfRule type="expression" dxfId="404" priority="111" stopIfTrue="1">
      <formula>IF(AND(IF(L278&lt;TODAY(),TRUE,FALSE),ISBLANK(N278)),TRUE,FALSE)</formula>
    </cfRule>
    <cfRule type="expression" dxfId="403" priority="112" stopIfTrue="1">
      <formula>IF(AND(IF(M278="",FALSE,TRUE),IF(N278="",FALSE,TRUE))=TRUE,TRUE,FALSE)</formula>
    </cfRule>
    <cfRule type="expression" dxfId="402" priority="113" stopIfTrue="1">
      <formula>IF(AND(IF(L278&lt;TODAY(),TRUE,FALSE),ISBLANK(M278)),TRUE,FALSE)</formula>
    </cfRule>
  </conditionalFormatting>
  <conditionalFormatting sqref="M278:M281">
    <cfRule type="expression" dxfId="401" priority="108" stopIfTrue="1">
      <formula>IF(AND(IF(M278="",FALSE,TRUE),IF(N278="",FALSE,TRUE))=TRUE,TRUE,FALSE)</formula>
    </cfRule>
    <cfRule type="expression" dxfId="400" priority="109" stopIfTrue="1">
      <formula>IF(AND(ISBLANK(M278),IF(L278&lt;TODAY(),TRUE,FALSE))=FALSE,FALSE,TRUE)</formula>
    </cfRule>
    <cfRule type="expression" dxfId="399" priority="110" stopIfTrue="1">
      <formula>IF(AND(IF(L278="",FALSE,TRUE),IF(M278="",FALSE,TRUE))=FALSE,TRUE,FALSE)</formula>
    </cfRule>
  </conditionalFormatting>
  <conditionalFormatting sqref="N251">
    <cfRule type="expression" dxfId="398" priority="90" stopIfTrue="1">
      <formula>IF(AND(ISBLANK(N251),IF(L251&lt;TODAY(),TRUE,FALSE))=FALSE,FALSE,TRUE)</formula>
    </cfRule>
    <cfRule type="expression" dxfId="397" priority="91" stopIfTrue="1">
      <formula>IF(AND(IF(M251="",FALSE,TRUE),IF(N251="",FALSE,TRUE))=TRUE,TRUE,FALSE)</formula>
    </cfRule>
  </conditionalFormatting>
  <conditionalFormatting sqref="O251">
    <cfRule type="expression" dxfId="396" priority="89" stopIfTrue="1">
      <formula>IF(OR(ISNUMBER(O251),ISBLANK(F251)),FALSE,TRUE)</formula>
    </cfRule>
  </conditionalFormatting>
  <conditionalFormatting sqref="L251">
    <cfRule type="expression" dxfId="395" priority="86" stopIfTrue="1">
      <formula>IF(AND(IF(L251&lt;TODAY(),TRUE,FALSE),ISBLANK(N251)),TRUE,FALSE)</formula>
    </cfRule>
    <cfRule type="expression" dxfId="394" priority="87" stopIfTrue="1">
      <formula>IF(AND(IF(M251="",FALSE,TRUE),IF(N251="",FALSE,TRUE))=TRUE,TRUE,FALSE)</formula>
    </cfRule>
    <cfRule type="expression" dxfId="393" priority="88" stopIfTrue="1">
      <formula>IF(AND(IF(L251&lt;TODAY(),TRUE,FALSE),ISBLANK(M251)),TRUE,FALSE)</formula>
    </cfRule>
  </conditionalFormatting>
  <conditionalFormatting sqref="M251">
    <cfRule type="expression" dxfId="392" priority="83" stopIfTrue="1">
      <formula>IF(AND(IF(M251="",FALSE,TRUE),IF(N251="",FALSE,TRUE))=TRUE,TRUE,FALSE)</formula>
    </cfRule>
    <cfRule type="expression" dxfId="391" priority="84" stopIfTrue="1">
      <formula>IF(AND(ISBLANK(M251),IF(L251&lt;TODAY(),TRUE,FALSE))=FALSE,FALSE,TRUE)</formula>
    </cfRule>
    <cfRule type="expression" dxfId="390" priority="85" stopIfTrue="1">
      <formula>IF(AND(IF(L251="",FALSE,TRUE),IF(M251="",FALSE,TRUE))=FALSE,TRUE,FALSE)</formula>
    </cfRule>
  </conditionalFormatting>
  <conditionalFormatting sqref="N283:N285">
    <cfRule type="expression" dxfId="389" priority="79" stopIfTrue="1">
      <formula>IF(AND(ISBLANK(N283),IF(L283&lt;TODAY(),TRUE,FALSE))=FALSE,FALSE,TRUE)</formula>
    </cfRule>
    <cfRule type="expression" dxfId="388" priority="80" stopIfTrue="1">
      <formula>IF(AND(IF(M283="",FALSE,TRUE),IF(N283="",FALSE,TRUE))=TRUE,TRUE,FALSE)</formula>
    </cfRule>
  </conditionalFormatting>
  <conditionalFormatting sqref="O283:O285">
    <cfRule type="expression" dxfId="387" priority="78" stopIfTrue="1">
      <formula>IF(OR(ISNUMBER(O283),ISBLANK(F283)),FALSE,TRUE)</formula>
    </cfRule>
  </conditionalFormatting>
  <conditionalFormatting sqref="L283:L285">
    <cfRule type="expression" dxfId="386" priority="75" stopIfTrue="1">
      <formula>IF(AND(IF(L283&lt;TODAY(),TRUE,FALSE),ISBLANK(N283)),TRUE,FALSE)</formula>
    </cfRule>
    <cfRule type="expression" dxfId="385" priority="76" stopIfTrue="1">
      <formula>IF(AND(IF(M283="",FALSE,TRUE),IF(N283="",FALSE,TRUE))=TRUE,TRUE,FALSE)</formula>
    </cfRule>
    <cfRule type="expression" dxfId="384" priority="77" stopIfTrue="1">
      <formula>IF(AND(IF(L283&lt;TODAY(),TRUE,FALSE),ISBLANK(M283)),TRUE,FALSE)</formula>
    </cfRule>
  </conditionalFormatting>
  <conditionalFormatting sqref="M283:M285">
    <cfRule type="expression" dxfId="383" priority="72" stopIfTrue="1">
      <formula>IF(AND(IF(M283="",FALSE,TRUE),IF(N283="",FALSE,TRUE))=TRUE,TRUE,FALSE)</formula>
    </cfRule>
    <cfRule type="expression" dxfId="382" priority="73" stopIfTrue="1">
      <formula>IF(AND(ISBLANK(M283),IF(L283&lt;TODAY(),TRUE,FALSE))=FALSE,FALSE,TRUE)</formula>
    </cfRule>
    <cfRule type="expression" dxfId="381" priority="74" stopIfTrue="1">
      <formula>IF(AND(IF(L283="",FALSE,TRUE),IF(M283="",FALSE,TRUE))=FALSE,TRUE,FALSE)</formula>
    </cfRule>
  </conditionalFormatting>
  <conditionalFormatting sqref="Q283:Q285">
    <cfRule type="cellIs" dxfId="380" priority="71" stopIfTrue="1" operator="greaterThan">
      <formula>0</formula>
    </cfRule>
  </conditionalFormatting>
  <conditionalFormatting sqref="N284:N285">
    <cfRule type="expression" dxfId="379" priority="69" stopIfTrue="1">
      <formula>IF(AND(ISBLANK(N284),IF(L284&lt;TODAY(),TRUE,FALSE))=FALSE,FALSE,TRUE)</formula>
    </cfRule>
    <cfRule type="expression" dxfId="378" priority="70" stopIfTrue="1">
      <formula>IF(AND(IF(M284="",FALSE,TRUE),IF(N284="",FALSE,TRUE))=TRUE,TRUE,FALSE)</formula>
    </cfRule>
  </conditionalFormatting>
  <conditionalFormatting sqref="O284:O285">
    <cfRule type="expression" dxfId="377" priority="68" stopIfTrue="1">
      <formula>IF(OR(ISNUMBER(O284),ISBLANK(F284)),FALSE,TRUE)</formula>
    </cfRule>
  </conditionalFormatting>
  <conditionalFormatting sqref="L284:L285">
    <cfRule type="expression" dxfId="376" priority="65" stopIfTrue="1">
      <formula>IF(AND(IF(L284&lt;TODAY(),TRUE,FALSE),ISBLANK(N284)),TRUE,FALSE)</formula>
    </cfRule>
    <cfRule type="expression" dxfId="375" priority="66" stopIfTrue="1">
      <formula>IF(AND(IF(M284="",FALSE,TRUE),IF(N284="",FALSE,TRUE))=TRUE,TRUE,FALSE)</formula>
    </cfRule>
    <cfRule type="expression" dxfId="374" priority="67" stopIfTrue="1">
      <formula>IF(AND(IF(L284&lt;TODAY(),TRUE,FALSE),ISBLANK(M284)),TRUE,FALSE)</formula>
    </cfRule>
  </conditionalFormatting>
  <conditionalFormatting sqref="M284:M285">
    <cfRule type="expression" dxfId="373" priority="62" stopIfTrue="1">
      <formula>IF(AND(IF(M284="",FALSE,TRUE),IF(N284="",FALSE,TRUE))=TRUE,TRUE,FALSE)</formula>
    </cfRule>
    <cfRule type="expression" dxfId="372" priority="63" stopIfTrue="1">
      <formula>IF(AND(ISBLANK(M284),IF(L284&lt;TODAY(),TRUE,FALSE))=FALSE,FALSE,TRUE)</formula>
    </cfRule>
    <cfRule type="expression" dxfId="371" priority="64" stopIfTrue="1">
      <formula>IF(AND(IF(L284="",FALSE,TRUE),IF(M284="",FALSE,TRUE))=FALSE,TRUE,FALSE)</formula>
    </cfRule>
  </conditionalFormatting>
  <conditionalFormatting sqref="Q284:Q285">
    <cfRule type="cellIs" dxfId="370" priority="61" stopIfTrue="1" operator="greaterThan">
      <formula>0</formula>
    </cfRule>
  </conditionalFormatting>
  <conditionalFormatting sqref="I284:I285">
    <cfRule type="cellIs" dxfId="369" priority="60" stopIfTrue="1" operator="greaterThan">
      <formula>0</formula>
    </cfRule>
  </conditionalFormatting>
  <conditionalFormatting sqref="I284:I285">
    <cfRule type="cellIs" dxfId="368" priority="59" stopIfTrue="1" operator="greaterThan">
      <formula>0</formula>
    </cfRule>
  </conditionalFormatting>
  <conditionalFormatting sqref="N285">
    <cfRule type="expression" dxfId="367" priority="57" stopIfTrue="1">
      <formula>IF(AND(ISBLANK(N285),IF(L285&lt;TODAY(),TRUE,FALSE))=FALSE,FALSE,TRUE)</formula>
    </cfRule>
    <cfRule type="expression" dxfId="366" priority="58" stopIfTrue="1">
      <formula>IF(AND(IF(M285="",FALSE,TRUE),IF(N285="",FALSE,TRUE))=TRUE,TRUE,FALSE)</formula>
    </cfRule>
  </conditionalFormatting>
  <conditionalFormatting sqref="O285">
    <cfRule type="expression" dxfId="365" priority="56" stopIfTrue="1">
      <formula>IF(OR(ISNUMBER(O285),ISBLANK(F285)),FALSE,TRUE)</formula>
    </cfRule>
  </conditionalFormatting>
  <conditionalFormatting sqref="L285">
    <cfRule type="expression" dxfId="364" priority="53" stopIfTrue="1">
      <formula>IF(AND(IF(L285&lt;TODAY(),TRUE,FALSE),ISBLANK(N285)),TRUE,FALSE)</formula>
    </cfRule>
    <cfRule type="expression" dxfId="363" priority="54" stopIfTrue="1">
      <formula>IF(AND(IF(M285="",FALSE,TRUE),IF(N285="",FALSE,TRUE))=TRUE,TRUE,FALSE)</formula>
    </cfRule>
    <cfRule type="expression" dxfId="362" priority="55" stopIfTrue="1">
      <formula>IF(AND(IF(L285&lt;TODAY(),TRUE,FALSE),ISBLANK(M285)),TRUE,FALSE)</formula>
    </cfRule>
  </conditionalFormatting>
  <conditionalFormatting sqref="M285">
    <cfRule type="expression" dxfId="361" priority="50" stopIfTrue="1">
      <formula>IF(AND(IF(M285="",FALSE,TRUE),IF(N285="",FALSE,TRUE))=TRUE,TRUE,FALSE)</formula>
    </cfRule>
    <cfRule type="expression" dxfId="360" priority="51" stopIfTrue="1">
      <formula>IF(AND(ISBLANK(M285),IF(L285&lt;TODAY(),TRUE,FALSE))=FALSE,FALSE,TRUE)</formula>
    </cfRule>
    <cfRule type="expression" dxfId="359" priority="52" stopIfTrue="1">
      <formula>IF(AND(IF(L285="",FALSE,TRUE),IF(M285="",FALSE,TRUE))=FALSE,TRUE,FALSE)</formula>
    </cfRule>
  </conditionalFormatting>
  <conditionalFormatting sqref="Q285">
    <cfRule type="cellIs" dxfId="358" priority="49" stopIfTrue="1" operator="greaterThan">
      <formula>0</formula>
    </cfRule>
  </conditionalFormatting>
  <conditionalFormatting sqref="I285">
    <cfRule type="cellIs" dxfId="357" priority="48" stopIfTrue="1" operator="greaterThan">
      <formula>0</formula>
    </cfRule>
  </conditionalFormatting>
  <conditionalFormatting sqref="N285">
    <cfRule type="expression" dxfId="356" priority="46" stopIfTrue="1">
      <formula>IF(AND(ISBLANK(N285),IF(L285&lt;TODAY(),TRUE,FALSE))=FALSE,FALSE,TRUE)</formula>
    </cfRule>
    <cfRule type="expression" dxfId="355" priority="47" stopIfTrue="1">
      <formula>IF(AND(IF(M285="",FALSE,TRUE),IF(N285="",FALSE,TRUE))=TRUE,TRUE,FALSE)</formula>
    </cfRule>
  </conditionalFormatting>
  <conditionalFormatting sqref="O285">
    <cfRule type="expression" dxfId="354" priority="45" stopIfTrue="1">
      <formula>IF(OR(ISNUMBER(O285),ISBLANK(F285)),FALSE,TRUE)</formula>
    </cfRule>
  </conditionalFormatting>
  <conditionalFormatting sqref="L285">
    <cfRule type="expression" dxfId="353" priority="42" stopIfTrue="1">
      <formula>IF(AND(IF(L285&lt;TODAY(),TRUE,FALSE),ISBLANK(N285)),TRUE,FALSE)</formula>
    </cfRule>
    <cfRule type="expression" dxfId="352" priority="43" stopIfTrue="1">
      <formula>IF(AND(IF(M285="",FALSE,TRUE),IF(N285="",FALSE,TRUE))=TRUE,TRUE,FALSE)</formula>
    </cfRule>
    <cfRule type="expression" dxfId="351" priority="44" stopIfTrue="1">
      <formula>IF(AND(IF(L285&lt;TODAY(),TRUE,FALSE),ISBLANK(M285)),TRUE,FALSE)</formula>
    </cfRule>
  </conditionalFormatting>
  <conditionalFormatting sqref="M285">
    <cfRule type="expression" dxfId="350" priority="39" stopIfTrue="1">
      <formula>IF(AND(IF(M285="",FALSE,TRUE),IF(N285="",FALSE,TRUE))=TRUE,TRUE,FALSE)</formula>
    </cfRule>
    <cfRule type="expression" dxfId="349" priority="40" stopIfTrue="1">
      <formula>IF(AND(ISBLANK(M285),IF(L285&lt;TODAY(),TRUE,FALSE))=FALSE,FALSE,TRUE)</formula>
    </cfRule>
    <cfRule type="expression" dxfId="348" priority="41" stopIfTrue="1">
      <formula>IF(AND(IF(L285="",FALSE,TRUE),IF(M285="",FALSE,TRUE))=FALSE,TRUE,FALSE)</formula>
    </cfRule>
  </conditionalFormatting>
  <conditionalFormatting sqref="Q285">
    <cfRule type="cellIs" dxfId="347" priority="38" stopIfTrue="1" operator="greaterThan">
      <formula>0</formula>
    </cfRule>
  </conditionalFormatting>
  <conditionalFormatting sqref="I285">
    <cfRule type="cellIs" dxfId="346" priority="37" stopIfTrue="1" operator="greaterThan">
      <formula>0</formula>
    </cfRule>
  </conditionalFormatting>
  <conditionalFormatting sqref="N285">
    <cfRule type="expression" dxfId="345" priority="35" stopIfTrue="1">
      <formula>IF(AND(ISBLANK(N285),IF(L285&lt;TODAY(),TRUE,FALSE))=FALSE,FALSE,TRUE)</formula>
    </cfRule>
    <cfRule type="expression" dxfId="344" priority="36" stopIfTrue="1">
      <formula>IF(AND(IF(M285="",FALSE,TRUE),IF(N285="",FALSE,TRUE))=TRUE,TRUE,FALSE)</formula>
    </cfRule>
  </conditionalFormatting>
  <conditionalFormatting sqref="O285">
    <cfRule type="expression" dxfId="343" priority="34" stopIfTrue="1">
      <formula>IF(OR(ISNUMBER(O285),ISBLANK(F285)),FALSE,TRUE)</formula>
    </cfRule>
  </conditionalFormatting>
  <conditionalFormatting sqref="L285">
    <cfRule type="expression" dxfId="342" priority="31" stopIfTrue="1">
      <formula>IF(AND(IF(L285&lt;TODAY(),TRUE,FALSE),ISBLANK(N285)),TRUE,FALSE)</formula>
    </cfRule>
    <cfRule type="expression" dxfId="341" priority="32" stopIfTrue="1">
      <formula>IF(AND(IF(M285="",FALSE,TRUE),IF(N285="",FALSE,TRUE))=TRUE,TRUE,FALSE)</formula>
    </cfRule>
    <cfRule type="expression" dxfId="340" priority="33" stopIfTrue="1">
      <formula>IF(AND(IF(L285&lt;TODAY(),TRUE,FALSE),ISBLANK(M285)),TRUE,FALSE)</formula>
    </cfRule>
  </conditionalFormatting>
  <conditionalFormatting sqref="M285">
    <cfRule type="expression" dxfId="339" priority="28" stopIfTrue="1">
      <formula>IF(AND(IF(M285="",FALSE,TRUE),IF(N285="",FALSE,TRUE))=TRUE,TRUE,FALSE)</formula>
    </cfRule>
    <cfRule type="expression" dxfId="338" priority="29" stopIfTrue="1">
      <formula>IF(AND(ISBLANK(M285),IF(L285&lt;TODAY(),TRUE,FALSE))=FALSE,FALSE,TRUE)</formula>
    </cfRule>
    <cfRule type="expression" dxfId="337" priority="30" stopIfTrue="1">
      <formula>IF(AND(IF(L285="",FALSE,TRUE),IF(M285="",FALSE,TRUE))=FALSE,TRUE,FALSE)</formula>
    </cfRule>
  </conditionalFormatting>
  <conditionalFormatting sqref="Q285">
    <cfRule type="cellIs" dxfId="336" priority="27" stopIfTrue="1" operator="greaterThan">
      <formula>0</formula>
    </cfRule>
  </conditionalFormatting>
  <conditionalFormatting sqref="N285">
    <cfRule type="expression" dxfId="335" priority="25" stopIfTrue="1">
      <formula>IF(AND(ISBLANK(N285),IF(L285&lt;TODAY(),TRUE,FALSE))=FALSE,FALSE,TRUE)</formula>
    </cfRule>
    <cfRule type="expression" dxfId="334" priority="26" stopIfTrue="1">
      <formula>IF(AND(IF(M285="",FALSE,TRUE),IF(N285="",FALSE,TRUE))=TRUE,TRUE,FALSE)</formula>
    </cfRule>
  </conditionalFormatting>
  <conditionalFormatting sqref="O285">
    <cfRule type="expression" dxfId="333" priority="24" stopIfTrue="1">
      <formula>IF(OR(ISNUMBER(O285),ISBLANK(F285)),FALSE,TRUE)</formula>
    </cfRule>
  </conditionalFormatting>
  <conditionalFormatting sqref="L285">
    <cfRule type="expression" dxfId="332" priority="21" stopIfTrue="1">
      <formula>IF(AND(IF(L285&lt;TODAY(),TRUE,FALSE),ISBLANK(N285)),TRUE,FALSE)</formula>
    </cfRule>
    <cfRule type="expression" dxfId="331" priority="22" stopIfTrue="1">
      <formula>IF(AND(IF(M285="",FALSE,TRUE),IF(N285="",FALSE,TRUE))=TRUE,TRUE,FALSE)</formula>
    </cfRule>
    <cfRule type="expression" dxfId="330" priority="23" stopIfTrue="1">
      <formula>IF(AND(IF(L285&lt;TODAY(),TRUE,FALSE),ISBLANK(M285)),TRUE,FALSE)</formula>
    </cfRule>
  </conditionalFormatting>
  <conditionalFormatting sqref="M285">
    <cfRule type="expression" dxfId="329" priority="18" stopIfTrue="1">
      <formula>IF(AND(IF(M285="",FALSE,TRUE),IF(N285="",FALSE,TRUE))=TRUE,TRUE,FALSE)</formula>
    </cfRule>
    <cfRule type="expression" dxfId="328" priority="19" stopIfTrue="1">
      <formula>IF(AND(ISBLANK(M285),IF(L285&lt;TODAY(),TRUE,FALSE))=FALSE,FALSE,TRUE)</formula>
    </cfRule>
    <cfRule type="expression" dxfId="327" priority="20" stopIfTrue="1">
      <formula>IF(AND(IF(L285="",FALSE,TRUE),IF(M285="",FALSE,TRUE))=FALSE,TRUE,FALSE)</formula>
    </cfRule>
  </conditionalFormatting>
  <conditionalFormatting sqref="Q285">
    <cfRule type="cellIs" dxfId="326" priority="17" stopIfTrue="1" operator="greaterThan">
      <formula>0</formula>
    </cfRule>
  </conditionalFormatting>
  <conditionalFormatting sqref="I285">
    <cfRule type="cellIs" dxfId="325" priority="16" stopIfTrue="1" operator="greaterThan">
      <formula>0</formula>
    </cfRule>
  </conditionalFormatting>
  <conditionalFormatting sqref="I285">
    <cfRule type="cellIs" dxfId="324" priority="15" stopIfTrue="1" operator="greaterThan">
      <formula>0</formula>
    </cfRule>
  </conditionalFormatting>
  <conditionalFormatting sqref="N285">
    <cfRule type="expression" dxfId="323" priority="13" stopIfTrue="1">
      <formula>IF(AND(ISBLANK(N285),IF(L285&lt;TODAY(),TRUE,FALSE))=FALSE,FALSE,TRUE)</formula>
    </cfRule>
    <cfRule type="expression" dxfId="322" priority="14" stopIfTrue="1">
      <formula>IF(AND(IF(M285="",FALSE,TRUE),IF(N285="",FALSE,TRUE))=TRUE,TRUE,FALSE)</formula>
    </cfRule>
  </conditionalFormatting>
  <conditionalFormatting sqref="O285">
    <cfRule type="expression" dxfId="321" priority="12" stopIfTrue="1">
      <formula>IF(OR(ISNUMBER(O285),ISBLANK(F285)),FALSE,TRUE)</formula>
    </cfRule>
  </conditionalFormatting>
  <conditionalFormatting sqref="L285">
    <cfRule type="expression" dxfId="320" priority="9" stopIfTrue="1">
      <formula>IF(AND(IF(L285&lt;TODAY(),TRUE,FALSE),ISBLANK(N285)),TRUE,FALSE)</formula>
    </cfRule>
    <cfRule type="expression" dxfId="319" priority="10" stopIfTrue="1">
      <formula>IF(AND(IF(M285="",FALSE,TRUE),IF(N285="",FALSE,TRUE))=TRUE,TRUE,FALSE)</formula>
    </cfRule>
    <cfRule type="expression" dxfId="318" priority="11" stopIfTrue="1">
      <formula>IF(AND(IF(L285&lt;TODAY(),TRUE,FALSE),ISBLANK(M285)),TRUE,FALSE)</formula>
    </cfRule>
  </conditionalFormatting>
  <conditionalFormatting sqref="M285">
    <cfRule type="expression" dxfId="317" priority="6" stopIfTrue="1">
      <formula>IF(AND(IF(M285="",FALSE,TRUE),IF(N285="",FALSE,TRUE))=TRUE,TRUE,FALSE)</formula>
    </cfRule>
    <cfRule type="expression" dxfId="316" priority="7" stopIfTrue="1">
      <formula>IF(AND(ISBLANK(M285),IF(L285&lt;TODAY(),TRUE,FALSE))=FALSE,FALSE,TRUE)</formula>
    </cfRule>
    <cfRule type="expression" dxfId="315" priority="8" stopIfTrue="1">
      <formula>IF(AND(IF(L285="",FALSE,TRUE),IF(M285="",FALSE,TRUE))=FALSE,TRUE,FALSE)</formula>
    </cfRule>
  </conditionalFormatting>
  <conditionalFormatting sqref="Q285">
    <cfRule type="cellIs" dxfId="314" priority="5" stopIfTrue="1" operator="greaterThan">
      <formula>0</formula>
    </cfRule>
  </conditionalFormatting>
  <conditionalFormatting sqref="I285">
    <cfRule type="cellIs" dxfId="313" priority="4" stopIfTrue="1" operator="greaterThan">
      <formula>0</formula>
    </cfRule>
  </conditionalFormatting>
  <conditionalFormatting sqref="I205">
    <cfRule type="cellIs" dxfId="312" priority="3" stopIfTrue="1" operator="greaterThan">
      <formula>0</formula>
    </cfRule>
  </conditionalFormatting>
  <conditionalFormatting sqref="I181:I184">
    <cfRule type="cellIs" dxfId="311" priority="2" stopIfTrue="1" operator="greaterThan">
      <formula>0</formula>
    </cfRule>
  </conditionalFormatting>
  <hyperlinks>
    <hyperlink ref="C5" r:id="rId1"/>
    <hyperlink ref="J277" r:id="rId2"/>
    <hyperlink ref="J278" r:id="rId3"/>
    <hyperlink ref="J279" r:id="rId4"/>
    <hyperlink ref="J280" r:id="rId5"/>
    <hyperlink ref="J281" r:id="rId6"/>
    <hyperlink ref="J285" r:id="rId7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8"/>
  <headerFooter alignWithMargins="0">
    <oddFooter>&amp;L&amp;8&amp;Z&amp;F&amp;F&amp;R&amp;P/&amp;N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>
    <tabColor indexed="10"/>
    <pageSetUpPr fitToPage="1"/>
  </sheetPr>
  <dimension ref="A1:CO515"/>
  <sheetViews>
    <sheetView zoomScaleNormal="100" workbookViewId="0">
      <pane ySplit="6" topLeftCell="A7" activePane="bottomLeft" state="frozen"/>
      <selection pane="bottomLeft" activeCell="I6" sqref="I6"/>
    </sheetView>
  </sheetViews>
  <sheetFormatPr defaultColWidth="9.140625" defaultRowHeight="12.75" outlineLevelRow="2" outlineLevelCol="1" x14ac:dyDescent="0.2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 x14ac:dyDescent="0.2">
      <c r="A1" s="77"/>
      <c r="B1" s="1"/>
      <c r="C1" s="15" t="s">
        <v>1</v>
      </c>
      <c r="D1" s="54" t="s">
        <v>102</v>
      </c>
      <c r="E1" s="15"/>
      <c r="F1" s="15"/>
      <c r="G1" s="269" t="s">
        <v>9</v>
      </c>
      <c r="H1" s="269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 x14ac:dyDescent="0.2">
      <c r="A2" s="77"/>
      <c r="B2" s="1"/>
      <c r="C2" s="15" t="s">
        <v>14</v>
      </c>
      <c r="D2" s="172"/>
      <c r="E2" s="53"/>
      <c r="F2" s="53"/>
      <c r="G2" s="270" t="s">
        <v>836</v>
      </c>
      <c r="H2" s="270"/>
      <c r="I2" s="271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 x14ac:dyDescent="0.25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 x14ac:dyDescent="0.25">
      <c r="A4" s="77"/>
      <c r="B4" s="1"/>
      <c r="C4" s="15" t="s">
        <v>33</v>
      </c>
      <c r="D4" s="272" t="str">
        <f>G412</f>
        <v>Obróbka wstępna: piaskowanie
Gruntowanie
Malowanie proszkowe: 
Pozycja 1. stelaż: biały (RAL 9003 )
Łączna grubość pokrycia: min. 90 µm warstwy suchej
Kooperant: Met-Kolor s.c.
Mariana Rapackiego 20, 20-151 Lublin</v>
      </c>
      <c r="E4" s="272"/>
      <c r="F4" s="272"/>
      <c r="G4" s="13" t="s">
        <v>11</v>
      </c>
      <c r="H4" s="221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51" t="s">
        <v>27</v>
      </c>
      <c r="R4" s="252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 x14ac:dyDescent="0.25">
      <c r="A5" s="77"/>
      <c r="B5" s="1"/>
      <c r="C5" s="253" t="s">
        <v>43</v>
      </c>
      <c r="D5" s="254"/>
      <c r="E5" s="11"/>
      <c r="F5" s="255" t="s">
        <v>30</v>
      </c>
      <c r="G5" s="256"/>
      <c r="H5" s="13"/>
      <c r="I5" s="14"/>
      <c r="K5" s="257" t="s">
        <v>34</v>
      </c>
      <c r="L5" s="258"/>
      <c r="M5" s="63"/>
      <c r="N5" s="63"/>
      <c r="O5" s="251" t="s">
        <v>24</v>
      </c>
      <c r="P5" s="252"/>
      <c r="Q5" s="52"/>
      <c r="R5" s="219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 x14ac:dyDescent="0.25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20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 x14ac:dyDescent="0.2">
      <c r="A7" s="224" t="s">
        <v>237</v>
      </c>
      <c r="B7" s="239" t="s">
        <v>84</v>
      </c>
      <c r="C7" s="242" t="s">
        <v>956</v>
      </c>
      <c r="D7" s="243" t="s">
        <v>952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 x14ac:dyDescent="0.2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204" t="s">
        <v>951</v>
      </c>
      <c r="J8" s="199"/>
      <c r="AN8" s="131">
        <v>2</v>
      </c>
    </row>
    <row r="9" spans="1:93" s="131" customFormat="1" outlineLevel="1" x14ac:dyDescent="0.2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 t="s">
        <v>951</v>
      </c>
      <c r="J9" s="205"/>
      <c r="AN9" s="131">
        <v>3</v>
      </c>
    </row>
    <row r="10" spans="1:93" s="131" customFormat="1" outlineLevel="1" x14ac:dyDescent="0.2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 t="s">
        <v>951</v>
      </c>
      <c r="J10" s="205"/>
      <c r="AN10" s="131">
        <v>3</v>
      </c>
    </row>
    <row r="11" spans="1:93" s="131" customFormat="1" outlineLevel="1" x14ac:dyDescent="0.2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 t="s">
        <v>951</v>
      </c>
      <c r="J11" s="205"/>
      <c r="AN11" s="131">
        <v>3</v>
      </c>
    </row>
    <row r="12" spans="1:93" s="131" customFormat="1" outlineLevel="1" x14ac:dyDescent="0.2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 t="s">
        <v>951</v>
      </c>
      <c r="J12" s="205"/>
      <c r="AN12" s="131">
        <v>3</v>
      </c>
    </row>
    <row r="13" spans="1:93" s="131" customFormat="1" outlineLevel="1" x14ac:dyDescent="0.2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 t="s">
        <v>951</v>
      </c>
      <c r="J13" s="205"/>
      <c r="AN13" s="131">
        <v>3</v>
      </c>
    </row>
    <row r="14" spans="1:93" s="131" customFormat="1" outlineLevel="1" x14ac:dyDescent="0.2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 t="s">
        <v>951</v>
      </c>
      <c r="J14" s="205"/>
      <c r="AN14" s="131">
        <v>3</v>
      </c>
    </row>
    <row r="15" spans="1:93" s="131" customFormat="1" outlineLevel="1" x14ac:dyDescent="0.2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 t="s">
        <v>951</v>
      </c>
      <c r="J15" s="205"/>
      <c r="AN15" s="131">
        <v>3</v>
      </c>
    </row>
    <row r="16" spans="1:93" s="131" customFormat="1" outlineLevel="1" x14ac:dyDescent="0.2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 t="s">
        <v>951</v>
      </c>
      <c r="J16" s="205"/>
      <c r="AN16" s="131">
        <v>3</v>
      </c>
    </row>
    <row r="17" spans="1:40" s="131" customFormat="1" outlineLevel="1" x14ac:dyDescent="0.2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 t="s">
        <v>951</v>
      </c>
      <c r="J17" s="205"/>
      <c r="AN17" s="131">
        <v>3</v>
      </c>
    </row>
    <row r="18" spans="1:40" s="131" customFormat="1" outlineLevel="1" x14ac:dyDescent="0.2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 t="s">
        <v>951</v>
      </c>
      <c r="J18" s="205"/>
      <c r="AN18" s="131">
        <v>3</v>
      </c>
    </row>
    <row r="19" spans="1:40" s="131" customFormat="1" outlineLevel="1" x14ac:dyDescent="0.2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 t="s">
        <v>951</v>
      </c>
      <c r="J19" s="205"/>
      <c r="AN19" s="131">
        <v>3</v>
      </c>
    </row>
    <row r="20" spans="1:40" s="131" customFormat="1" outlineLevel="1" x14ac:dyDescent="0.2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 t="s">
        <v>951</v>
      </c>
      <c r="J20" s="205"/>
      <c r="AN20" s="131">
        <v>3</v>
      </c>
    </row>
    <row r="21" spans="1:40" s="131" customFormat="1" outlineLevel="1" x14ac:dyDescent="0.2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 t="s">
        <v>951</v>
      </c>
      <c r="J21" s="205"/>
      <c r="AN21" s="131">
        <v>3</v>
      </c>
    </row>
    <row r="22" spans="1:40" s="131" customFormat="1" outlineLevel="1" x14ac:dyDescent="0.2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 t="s">
        <v>951</v>
      </c>
      <c r="J22" s="205"/>
      <c r="AN22" s="131">
        <v>3</v>
      </c>
    </row>
    <row r="23" spans="1:40" s="131" customFormat="1" outlineLevel="1" x14ac:dyDescent="0.2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 t="s">
        <v>951</v>
      </c>
      <c r="J23" s="205"/>
      <c r="AN23" s="131">
        <v>3</v>
      </c>
    </row>
    <row r="24" spans="1:40" s="131" customFormat="1" outlineLevel="1" x14ac:dyDescent="0.2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204" t="s">
        <v>951</v>
      </c>
      <c r="J24" s="158"/>
      <c r="AN24" s="131">
        <v>3</v>
      </c>
    </row>
    <row r="25" spans="1:40" s="131" customFormat="1" x14ac:dyDescent="0.2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 x14ac:dyDescent="0.2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 x14ac:dyDescent="0.2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 x14ac:dyDescent="0.2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 x14ac:dyDescent="0.2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 x14ac:dyDescent="0.2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 x14ac:dyDescent="0.2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 x14ac:dyDescent="0.2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 x14ac:dyDescent="0.2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 x14ac:dyDescent="0.2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 x14ac:dyDescent="0.2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 x14ac:dyDescent="0.2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 x14ac:dyDescent="0.2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 x14ac:dyDescent="0.2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 x14ac:dyDescent="0.2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 x14ac:dyDescent="0.2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 x14ac:dyDescent="0.2">
      <c r="A41" s="195" t="s">
        <v>237</v>
      </c>
      <c r="B41" s="222" t="s">
        <v>86</v>
      </c>
      <c r="C41" s="196" t="s">
        <v>937</v>
      </c>
      <c r="D41" s="197" t="s">
        <v>119</v>
      </c>
      <c r="E41" s="197">
        <v>1</v>
      </c>
      <c r="F41" s="197"/>
      <c r="G41" s="197"/>
      <c r="H41" s="195"/>
      <c r="I41" s="198" t="s">
        <v>938</v>
      </c>
      <c r="J41" s="199"/>
      <c r="AN41" s="131">
        <v>2</v>
      </c>
    </row>
    <row r="42" spans="1:40" s="131" customFormat="1" x14ac:dyDescent="0.2">
      <c r="A42" s="195" t="s">
        <v>213</v>
      </c>
      <c r="B42" s="222" t="s">
        <v>300</v>
      </c>
      <c r="C42" s="200" t="s">
        <v>238</v>
      </c>
      <c r="D42" s="201" t="s">
        <v>239</v>
      </c>
      <c r="E42" s="201">
        <v>2</v>
      </c>
      <c r="F42" s="202">
        <v>4.16241971</v>
      </c>
      <c r="G42" s="202">
        <f t="shared" ref="G42:G50" si="2">F42*E42</f>
        <v>8.32483942</v>
      </c>
      <c r="H42" s="203" t="s">
        <v>126</v>
      </c>
      <c r="I42" s="198" t="s">
        <v>938</v>
      </c>
      <c r="J42" s="205"/>
      <c r="AN42" s="131">
        <v>3</v>
      </c>
    </row>
    <row r="43" spans="1:40" s="131" customFormat="1" x14ac:dyDescent="0.2">
      <c r="A43" s="195" t="s">
        <v>213</v>
      </c>
      <c r="B43" s="222" t="s">
        <v>301</v>
      </c>
      <c r="C43" s="200" t="s">
        <v>240</v>
      </c>
      <c r="D43" s="201" t="s">
        <v>241</v>
      </c>
      <c r="E43" s="201">
        <v>2</v>
      </c>
      <c r="F43" s="202">
        <v>4.8122980000000002</v>
      </c>
      <c r="G43" s="202">
        <f t="shared" si="2"/>
        <v>9.6245960000000004</v>
      </c>
      <c r="H43" s="203" t="s">
        <v>126</v>
      </c>
      <c r="I43" s="198" t="s">
        <v>938</v>
      </c>
      <c r="J43" s="205"/>
      <c r="AN43" s="131">
        <v>3</v>
      </c>
    </row>
    <row r="44" spans="1:40" s="131" customFormat="1" x14ac:dyDescent="0.2">
      <c r="A44" s="195" t="s">
        <v>213</v>
      </c>
      <c r="B44" s="222" t="s">
        <v>302</v>
      </c>
      <c r="C44" s="200" t="s">
        <v>433</v>
      </c>
      <c r="D44" s="201" t="s">
        <v>434</v>
      </c>
      <c r="E44" s="201">
        <v>4</v>
      </c>
      <c r="F44" s="202">
        <v>0.17624634</v>
      </c>
      <c r="G44" s="202">
        <f t="shared" si="2"/>
        <v>0.70498536000000001</v>
      </c>
      <c r="H44" s="203" t="s">
        <v>126</v>
      </c>
      <c r="I44" s="198" t="s">
        <v>938</v>
      </c>
      <c r="J44" s="205"/>
      <c r="AN44" s="131">
        <v>3</v>
      </c>
    </row>
    <row r="45" spans="1:40" s="131" customFormat="1" x14ac:dyDescent="0.2">
      <c r="A45" s="195" t="s">
        <v>213</v>
      </c>
      <c r="B45" s="222" t="s">
        <v>303</v>
      </c>
      <c r="C45" s="200" t="s">
        <v>245</v>
      </c>
      <c r="D45" s="201" t="s">
        <v>246</v>
      </c>
      <c r="E45" s="201">
        <v>1</v>
      </c>
      <c r="F45" s="202">
        <v>0.53866608000000005</v>
      </c>
      <c r="G45" s="202">
        <f t="shared" si="2"/>
        <v>0.53866608000000005</v>
      </c>
      <c r="H45" s="203" t="s">
        <v>126</v>
      </c>
      <c r="I45" s="198" t="s">
        <v>938</v>
      </c>
      <c r="J45" s="205"/>
      <c r="AN45" s="131">
        <v>3</v>
      </c>
    </row>
    <row r="46" spans="1:40" s="131" customFormat="1" x14ac:dyDescent="0.2">
      <c r="A46" s="195" t="s">
        <v>213</v>
      </c>
      <c r="B46" s="222" t="s">
        <v>304</v>
      </c>
      <c r="C46" s="200" t="s">
        <v>382</v>
      </c>
      <c r="D46" s="201" t="s">
        <v>383</v>
      </c>
      <c r="E46" s="201">
        <v>1</v>
      </c>
      <c r="F46" s="202">
        <v>7.19524E-2</v>
      </c>
      <c r="G46" s="202">
        <f t="shared" si="2"/>
        <v>7.19524E-2</v>
      </c>
      <c r="H46" s="203" t="s">
        <v>126</v>
      </c>
      <c r="I46" s="198" t="s">
        <v>938</v>
      </c>
      <c r="J46" s="205"/>
      <c r="AN46" s="131">
        <v>3</v>
      </c>
    </row>
    <row r="47" spans="1:40" s="131" customFormat="1" x14ac:dyDescent="0.2">
      <c r="A47" s="195" t="s">
        <v>213</v>
      </c>
      <c r="B47" s="222" t="s">
        <v>305</v>
      </c>
      <c r="C47" s="200" t="s">
        <v>248</v>
      </c>
      <c r="D47" s="201" t="s">
        <v>367</v>
      </c>
      <c r="E47" s="201">
        <v>2</v>
      </c>
      <c r="F47" s="202">
        <v>4.5460680000000003E-2</v>
      </c>
      <c r="G47" s="202">
        <f t="shared" si="2"/>
        <v>9.0921360000000007E-2</v>
      </c>
      <c r="H47" s="203" t="s">
        <v>126</v>
      </c>
      <c r="I47" s="198" t="s">
        <v>938</v>
      </c>
      <c r="J47" s="205"/>
      <c r="AN47" s="131">
        <v>3</v>
      </c>
    </row>
    <row r="48" spans="1:40" s="131" customFormat="1" x14ac:dyDescent="0.2">
      <c r="A48" s="195" t="s">
        <v>213</v>
      </c>
      <c r="B48" s="222" t="s">
        <v>306</v>
      </c>
      <c r="C48" s="200" t="s">
        <v>249</v>
      </c>
      <c r="D48" s="201" t="s">
        <v>367</v>
      </c>
      <c r="E48" s="201">
        <v>2</v>
      </c>
      <c r="F48" s="202">
        <v>4.5459329999999999E-2</v>
      </c>
      <c r="G48" s="202">
        <f t="shared" si="2"/>
        <v>9.0918659999999998E-2</v>
      </c>
      <c r="H48" s="203" t="s">
        <v>126</v>
      </c>
      <c r="I48" s="198" t="s">
        <v>938</v>
      </c>
      <c r="J48" s="205"/>
      <c r="AN48" s="131">
        <v>3</v>
      </c>
    </row>
    <row r="49" spans="1:40" s="131" customFormat="1" x14ac:dyDescent="0.2">
      <c r="A49" s="195" t="s">
        <v>213</v>
      </c>
      <c r="B49" s="222" t="s">
        <v>307</v>
      </c>
      <c r="C49" s="200" t="s">
        <v>385</v>
      </c>
      <c r="D49" s="201" t="s">
        <v>386</v>
      </c>
      <c r="E49" s="201">
        <v>1</v>
      </c>
      <c r="F49" s="202">
        <v>0.12992333</v>
      </c>
      <c r="G49" s="202">
        <f t="shared" si="2"/>
        <v>0.12992333</v>
      </c>
      <c r="H49" s="203" t="s">
        <v>126</v>
      </c>
      <c r="I49" s="198" t="s">
        <v>938</v>
      </c>
      <c r="J49" s="205"/>
      <c r="AN49" s="131">
        <v>3</v>
      </c>
    </row>
    <row r="50" spans="1:40" s="131" customFormat="1" x14ac:dyDescent="0.2">
      <c r="A50" s="195" t="s">
        <v>162</v>
      </c>
      <c r="B50" s="222" t="s">
        <v>308</v>
      </c>
      <c r="C50" s="153" t="s">
        <v>252</v>
      </c>
      <c r="D50" s="154" t="s">
        <v>253</v>
      </c>
      <c r="E50" s="154">
        <v>4</v>
      </c>
      <c r="F50" s="155">
        <v>4.0660700000000001E-2</v>
      </c>
      <c r="G50" s="155">
        <f t="shared" si="2"/>
        <v>0.1626428</v>
      </c>
      <c r="H50" s="156"/>
      <c r="I50" s="198" t="s">
        <v>938</v>
      </c>
      <c r="J50" s="158"/>
      <c r="AN50" s="131">
        <v>3</v>
      </c>
    </row>
    <row r="51" spans="1:40" s="131" customFormat="1" x14ac:dyDescent="0.2">
      <c r="A51" s="195" t="s">
        <v>237</v>
      </c>
      <c r="B51" s="218" t="s">
        <v>87</v>
      </c>
      <c r="C51" s="196" t="s">
        <v>439</v>
      </c>
      <c r="D51" s="197" t="s">
        <v>120</v>
      </c>
      <c r="E51" s="197">
        <v>1</v>
      </c>
      <c r="F51" s="207"/>
      <c r="G51" s="207" t="str">
        <f>""</f>
        <v/>
      </c>
      <c r="H51" s="195"/>
      <c r="I51" s="198"/>
      <c r="J51" s="199"/>
      <c r="AN51" s="131">
        <v>2</v>
      </c>
    </row>
    <row r="52" spans="1:40" s="131" customFormat="1" outlineLevel="1" x14ac:dyDescent="0.2">
      <c r="A52" s="195" t="s">
        <v>213</v>
      </c>
      <c r="B52" s="218" t="s">
        <v>316</v>
      </c>
      <c r="C52" s="200" t="s">
        <v>254</v>
      </c>
      <c r="D52" s="201" t="s">
        <v>255</v>
      </c>
      <c r="E52" s="201">
        <f>2*1</f>
        <v>2</v>
      </c>
      <c r="F52" s="202">
        <v>1.3699131200000001</v>
      </c>
      <c r="G52" s="202">
        <f t="shared" ref="G52:G58" si="3">F52*E52</f>
        <v>2.7398262400000002</v>
      </c>
      <c r="H52" s="203" t="s">
        <v>126</v>
      </c>
      <c r="I52" s="204"/>
      <c r="J52" s="205"/>
      <c r="AN52" s="131">
        <v>3</v>
      </c>
    </row>
    <row r="53" spans="1:40" s="131" customFormat="1" outlineLevel="1" x14ac:dyDescent="0.2">
      <c r="A53" s="195" t="s">
        <v>213</v>
      </c>
      <c r="B53" s="218" t="s">
        <v>317</v>
      </c>
      <c r="C53" s="200" t="s">
        <v>256</v>
      </c>
      <c r="D53" s="201" t="s">
        <v>257</v>
      </c>
      <c r="E53" s="201">
        <f>1*1</f>
        <v>1</v>
      </c>
      <c r="F53" s="202">
        <v>1.09654622</v>
      </c>
      <c r="G53" s="202">
        <f t="shared" si="3"/>
        <v>1.09654622</v>
      </c>
      <c r="H53" s="203" t="s">
        <v>126</v>
      </c>
      <c r="I53" s="204"/>
      <c r="J53" s="205"/>
      <c r="AN53" s="131">
        <v>3</v>
      </c>
    </row>
    <row r="54" spans="1:40" s="131" customFormat="1" outlineLevel="1" x14ac:dyDescent="0.2">
      <c r="A54" s="195" t="s">
        <v>213</v>
      </c>
      <c r="B54" s="218" t="s">
        <v>318</v>
      </c>
      <c r="C54" s="200" t="s">
        <v>258</v>
      </c>
      <c r="D54" s="201" t="s">
        <v>440</v>
      </c>
      <c r="E54" s="201">
        <f>1*1</f>
        <v>1</v>
      </c>
      <c r="F54" s="202">
        <v>1.0965381599999999</v>
      </c>
      <c r="G54" s="202">
        <f t="shared" si="3"/>
        <v>1.0965381599999999</v>
      </c>
      <c r="H54" s="203" t="s">
        <v>126</v>
      </c>
      <c r="I54" s="204"/>
      <c r="J54" s="205"/>
      <c r="AN54" s="131">
        <v>3</v>
      </c>
    </row>
    <row r="55" spans="1:40" s="131" customFormat="1" outlineLevel="1" x14ac:dyDescent="0.2">
      <c r="A55" s="195" t="s">
        <v>213</v>
      </c>
      <c r="B55" s="218" t="s">
        <v>319</v>
      </c>
      <c r="C55" s="200" t="s">
        <v>259</v>
      </c>
      <c r="D55" s="201" t="s">
        <v>260</v>
      </c>
      <c r="E55" s="201">
        <f>1*1</f>
        <v>1</v>
      </c>
      <c r="F55" s="202">
        <v>0.49976885999999998</v>
      </c>
      <c r="G55" s="202">
        <f t="shared" si="3"/>
        <v>0.49976885999999998</v>
      </c>
      <c r="H55" s="203" t="s">
        <v>126</v>
      </c>
      <c r="I55" s="204"/>
      <c r="J55" s="205"/>
      <c r="AN55" s="131">
        <v>3</v>
      </c>
    </row>
    <row r="56" spans="1:40" s="131" customFormat="1" outlineLevel="1" x14ac:dyDescent="0.2">
      <c r="A56" s="195" t="s">
        <v>213</v>
      </c>
      <c r="B56" s="218" t="s">
        <v>320</v>
      </c>
      <c r="C56" s="200" t="s">
        <v>441</v>
      </c>
      <c r="D56" s="201" t="s">
        <v>442</v>
      </c>
      <c r="E56" s="201">
        <f>2*1</f>
        <v>2</v>
      </c>
      <c r="F56" s="202">
        <v>4.008548E-2</v>
      </c>
      <c r="G56" s="202">
        <f t="shared" si="3"/>
        <v>8.0170959999999999E-2</v>
      </c>
      <c r="H56" s="203" t="s">
        <v>126</v>
      </c>
      <c r="I56" s="204"/>
      <c r="J56" s="205"/>
      <c r="AN56" s="131">
        <v>3</v>
      </c>
    </row>
    <row r="57" spans="1:40" s="131" customFormat="1" outlineLevel="1" x14ac:dyDescent="0.2">
      <c r="A57" s="195" t="s">
        <v>213</v>
      </c>
      <c r="B57" s="218" t="s">
        <v>321</v>
      </c>
      <c r="C57" s="200" t="s">
        <v>261</v>
      </c>
      <c r="D57" s="201" t="s">
        <v>443</v>
      </c>
      <c r="E57" s="201">
        <f>1*1</f>
        <v>1</v>
      </c>
      <c r="F57" s="202">
        <v>0.25066654999999999</v>
      </c>
      <c r="G57" s="202">
        <f t="shared" si="3"/>
        <v>0.25066654999999999</v>
      </c>
      <c r="H57" s="203" t="s">
        <v>126</v>
      </c>
      <c r="I57" s="204"/>
      <c r="J57" s="205"/>
      <c r="AN57" s="131">
        <v>3</v>
      </c>
    </row>
    <row r="58" spans="1:40" s="131" customFormat="1" outlineLevel="1" x14ac:dyDescent="0.2">
      <c r="A58" s="195" t="s">
        <v>213</v>
      </c>
      <c r="B58" s="218" t="s">
        <v>322</v>
      </c>
      <c r="C58" s="200" t="s">
        <v>402</v>
      </c>
      <c r="D58" s="201" t="s">
        <v>403</v>
      </c>
      <c r="E58" s="201">
        <f>1*1</f>
        <v>1</v>
      </c>
      <c r="F58" s="202">
        <v>0.46376856</v>
      </c>
      <c r="G58" s="202">
        <f t="shared" si="3"/>
        <v>0.46376856</v>
      </c>
      <c r="H58" s="203" t="s">
        <v>126</v>
      </c>
      <c r="I58" s="204"/>
      <c r="J58" s="205"/>
      <c r="AN58" s="131">
        <v>3</v>
      </c>
    </row>
    <row r="59" spans="1:40" s="131" customFormat="1" x14ac:dyDescent="0.2">
      <c r="A59" s="195" t="s">
        <v>237</v>
      </c>
      <c r="B59" s="218" t="s">
        <v>88</v>
      </c>
      <c r="C59" s="196" t="s">
        <v>444</v>
      </c>
      <c r="D59" s="197" t="s">
        <v>121</v>
      </c>
      <c r="E59" s="197">
        <v>1</v>
      </c>
      <c r="F59" s="207"/>
      <c r="G59" s="207" t="str">
        <f>""</f>
        <v/>
      </c>
      <c r="H59" s="195"/>
      <c r="I59" s="198"/>
      <c r="J59" s="199"/>
      <c r="AN59" s="131">
        <v>2</v>
      </c>
    </row>
    <row r="60" spans="1:40" s="131" customFormat="1" outlineLevel="1" x14ac:dyDescent="0.2">
      <c r="A60" s="195" t="s">
        <v>213</v>
      </c>
      <c r="B60" s="218" t="s">
        <v>323</v>
      </c>
      <c r="C60" s="200" t="s">
        <v>262</v>
      </c>
      <c r="D60" s="201" t="s">
        <v>255</v>
      </c>
      <c r="E60" s="201">
        <f>2*1</f>
        <v>2</v>
      </c>
      <c r="F60" s="202">
        <v>1.37</v>
      </c>
      <c r="G60" s="202">
        <f t="shared" ref="G60:G65" si="4">F60*E60</f>
        <v>2.74</v>
      </c>
      <c r="H60" s="203" t="s">
        <v>126</v>
      </c>
      <c r="I60" s="204"/>
      <c r="J60" s="205"/>
      <c r="AN60" s="131">
        <v>3</v>
      </c>
    </row>
    <row r="61" spans="1:40" s="131" customFormat="1" outlineLevel="1" x14ac:dyDescent="0.2">
      <c r="A61" s="195" t="s">
        <v>213</v>
      </c>
      <c r="B61" s="218" t="s">
        <v>324</v>
      </c>
      <c r="C61" s="200" t="s">
        <v>256</v>
      </c>
      <c r="D61" s="201" t="s">
        <v>257</v>
      </c>
      <c r="E61" s="201">
        <f>1*1</f>
        <v>1</v>
      </c>
      <c r="F61" s="202">
        <v>1.1000000000000001</v>
      </c>
      <c r="G61" s="202">
        <f t="shared" si="4"/>
        <v>1.1000000000000001</v>
      </c>
      <c r="H61" s="203" t="s">
        <v>126</v>
      </c>
      <c r="I61" s="204"/>
      <c r="J61" s="205"/>
      <c r="AN61" s="131">
        <v>3</v>
      </c>
    </row>
    <row r="62" spans="1:40" s="131" customFormat="1" outlineLevel="1" x14ac:dyDescent="0.2">
      <c r="A62" s="195" t="s">
        <v>213</v>
      </c>
      <c r="B62" s="218" t="s">
        <v>325</v>
      </c>
      <c r="C62" s="200" t="s">
        <v>258</v>
      </c>
      <c r="D62" s="201" t="s">
        <v>440</v>
      </c>
      <c r="E62" s="201">
        <f>1*1</f>
        <v>1</v>
      </c>
      <c r="F62" s="202">
        <v>1.1000000000000001</v>
      </c>
      <c r="G62" s="202">
        <f t="shared" si="4"/>
        <v>1.1000000000000001</v>
      </c>
      <c r="H62" s="203" t="s">
        <v>126</v>
      </c>
      <c r="I62" s="204"/>
      <c r="J62" s="205"/>
      <c r="AN62" s="131">
        <v>3</v>
      </c>
    </row>
    <row r="63" spans="1:40" s="131" customFormat="1" outlineLevel="1" x14ac:dyDescent="0.2">
      <c r="A63" s="195" t="s">
        <v>213</v>
      </c>
      <c r="B63" s="218" t="s">
        <v>326</v>
      </c>
      <c r="C63" s="200" t="s">
        <v>263</v>
      </c>
      <c r="D63" s="201" t="s">
        <v>264</v>
      </c>
      <c r="E63" s="201">
        <f>1*1</f>
        <v>1</v>
      </c>
      <c r="F63" s="202">
        <v>0.53</v>
      </c>
      <c r="G63" s="202">
        <f t="shared" si="4"/>
        <v>0.53</v>
      </c>
      <c r="H63" s="203" t="s">
        <v>126</v>
      </c>
      <c r="I63" s="204"/>
      <c r="J63" s="205"/>
      <c r="AN63" s="131">
        <v>3</v>
      </c>
    </row>
    <row r="64" spans="1:40" s="131" customFormat="1" outlineLevel="1" x14ac:dyDescent="0.2">
      <c r="A64" s="195" t="s">
        <v>213</v>
      </c>
      <c r="B64" s="218" t="s">
        <v>327</v>
      </c>
      <c r="C64" s="200" t="s">
        <v>261</v>
      </c>
      <c r="D64" s="201" t="s">
        <v>443</v>
      </c>
      <c r="E64" s="201">
        <f>1*1</f>
        <v>1</v>
      </c>
      <c r="F64" s="202">
        <v>0.25</v>
      </c>
      <c r="G64" s="202">
        <f t="shared" si="4"/>
        <v>0.25</v>
      </c>
      <c r="H64" s="203" t="s">
        <v>126</v>
      </c>
      <c r="I64" s="204"/>
      <c r="J64" s="205"/>
      <c r="AN64" s="131">
        <v>3</v>
      </c>
    </row>
    <row r="65" spans="1:40" s="131" customFormat="1" outlineLevel="1" x14ac:dyDescent="0.2">
      <c r="A65" s="195" t="s">
        <v>213</v>
      </c>
      <c r="B65" s="218" t="s">
        <v>328</v>
      </c>
      <c r="C65" s="200" t="s">
        <v>404</v>
      </c>
      <c r="D65" s="201" t="s">
        <v>405</v>
      </c>
      <c r="E65" s="201">
        <f>1*1</f>
        <v>1</v>
      </c>
      <c r="F65" s="202">
        <v>0.63</v>
      </c>
      <c r="G65" s="202">
        <f t="shared" si="4"/>
        <v>0.63</v>
      </c>
      <c r="H65" s="203" t="s">
        <v>126</v>
      </c>
      <c r="I65" s="204"/>
      <c r="J65" s="205"/>
      <c r="AN65" s="131">
        <v>3</v>
      </c>
    </row>
    <row r="66" spans="1:40" s="131" customFormat="1" x14ac:dyDescent="0.2">
      <c r="A66" s="195" t="s">
        <v>237</v>
      </c>
      <c r="B66" s="218" t="s">
        <v>89</v>
      </c>
      <c r="C66" s="196" t="s">
        <v>445</v>
      </c>
      <c r="D66" s="197" t="s">
        <v>122</v>
      </c>
      <c r="E66" s="197">
        <v>1</v>
      </c>
      <c r="F66" s="207"/>
      <c r="G66" s="207" t="str">
        <f>""</f>
        <v/>
      </c>
      <c r="H66" s="195"/>
      <c r="I66" s="198"/>
      <c r="J66" s="199"/>
      <c r="AN66" s="131">
        <v>2</v>
      </c>
    </row>
    <row r="67" spans="1:40" s="131" customFormat="1" outlineLevel="1" x14ac:dyDescent="0.2">
      <c r="A67" s="195" t="s">
        <v>213</v>
      </c>
      <c r="B67" s="218" t="s">
        <v>329</v>
      </c>
      <c r="C67" s="200" t="s">
        <v>406</v>
      </c>
      <c r="D67" s="201" t="s">
        <v>407</v>
      </c>
      <c r="E67" s="201">
        <f>1*1</f>
        <v>1</v>
      </c>
      <c r="F67" s="202">
        <v>1.1299999999999999</v>
      </c>
      <c r="G67" s="202">
        <f t="shared" ref="G67:G72" si="5">F67*E67</f>
        <v>1.1299999999999999</v>
      </c>
      <c r="H67" s="203" t="s">
        <v>126</v>
      </c>
      <c r="I67" s="204"/>
      <c r="J67" s="205"/>
      <c r="AN67" s="131">
        <v>3</v>
      </c>
    </row>
    <row r="68" spans="1:40" s="131" customFormat="1" outlineLevel="1" x14ac:dyDescent="0.2">
      <c r="A68" s="195" t="s">
        <v>213</v>
      </c>
      <c r="B68" s="218" t="s">
        <v>330</v>
      </c>
      <c r="C68" s="200" t="s">
        <v>265</v>
      </c>
      <c r="D68" s="201" t="s">
        <v>266</v>
      </c>
      <c r="E68" s="201">
        <f>2*1</f>
        <v>2</v>
      </c>
      <c r="F68" s="202">
        <v>0.01</v>
      </c>
      <c r="G68" s="202">
        <f t="shared" si="5"/>
        <v>0.02</v>
      </c>
      <c r="H68" s="203" t="s">
        <v>126</v>
      </c>
      <c r="I68" s="204"/>
      <c r="J68" s="205"/>
      <c r="AN68" s="131">
        <v>3</v>
      </c>
    </row>
    <row r="69" spans="1:40" s="131" customFormat="1" collapsed="1" x14ac:dyDescent="0.2">
      <c r="A69" s="195" t="s">
        <v>213</v>
      </c>
      <c r="B69" s="218" t="s">
        <v>90</v>
      </c>
      <c r="C69" s="208" t="s">
        <v>446</v>
      </c>
      <c r="D69" s="206" t="s">
        <v>447</v>
      </c>
      <c r="E69" s="206">
        <v>1</v>
      </c>
      <c r="F69" s="209">
        <v>0.65</v>
      </c>
      <c r="G69" s="209">
        <f t="shared" si="5"/>
        <v>0.65</v>
      </c>
      <c r="H69" s="210" t="s">
        <v>126</v>
      </c>
      <c r="I69" s="211"/>
      <c r="J69" s="212"/>
      <c r="AN69" s="131">
        <v>2</v>
      </c>
    </row>
    <row r="70" spans="1:40" s="131" customFormat="1" x14ac:dyDescent="0.2">
      <c r="A70" s="195" t="s">
        <v>213</v>
      </c>
      <c r="B70" s="218" t="s">
        <v>90</v>
      </c>
      <c r="C70" s="208" t="s">
        <v>940</v>
      </c>
      <c r="D70" s="206" t="s">
        <v>447</v>
      </c>
      <c r="E70" s="206">
        <v>1</v>
      </c>
      <c r="F70" s="209">
        <v>0.65</v>
      </c>
      <c r="G70" s="209">
        <f t="shared" si="5"/>
        <v>0.65</v>
      </c>
      <c r="H70" s="210">
        <v>1.4300999999999999</v>
      </c>
      <c r="I70" s="211" t="s">
        <v>864</v>
      </c>
      <c r="J70" s="212"/>
      <c r="AN70" s="131">
        <v>2</v>
      </c>
    </row>
    <row r="71" spans="1:40" s="131" customFormat="1" x14ac:dyDescent="0.2">
      <c r="A71" s="195" t="s">
        <v>213</v>
      </c>
      <c r="B71" s="218" t="s">
        <v>91</v>
      </c>
      <c r="C71" s="208" t="s">
        <v>448</v>
      </c>
      <c r="D71" s="206" t="s">
        <v>449</v>
      </c>
      <c r="E71" s="206">
        <v>1</v>
      </c>
      <c r="F71" s="209">
        <v>0.83</v>
      </c>
      <c r="G71" s="209">
        <f t="shared" si="5"/>
        <v>0.83</v>
      </c>
      <c r="H71" s="210" t="s">
        <v>126</v>
      </c>
      <c r="I71" s="211"/>
      <c r="J71" s="212"/>
      <c r="AN71" s="131">
        <v>2</v>
      </c>
    </row>
    <row r="72" spans="1:40" s="131" customFormat="1" x14ac:dyDescent="0.2">
      <c r="A72" s="195" t="s">
        <v>213</v>
      </c>
      <c r="B72" s="218" t="s">
        <v>91</v>
      </c>
      <c r="C72" s="208" t="s">
        <v>939</v>
      </c>
      <c r="D72" s="206" t="s">
        <v>449</v>
      </c>
      <c r="E72" s="206">
        <v>1</v>
      </c>
      <c r="F72" s="209">
        <v>0.83</v>
      </c>
      <c r="G72" s="209">
        <f t="shared" si="5"/>
        <v>0.83</v>
      </c>
      <c r="H72" s="210">
        <v>1.4300999999999999</v>
      </c>
      <c r="I72" s="211" t="s">
        <v>864</v>
      </c>
      <c r="J72" s="212"/>
      <c r="AN72" s="131">
        <v>2</v>
      </c>
    </row>
    <row r="73" spans="1:40" s="131" customFormat="1" x14ac:dyDescent="0.2">
      <c r="A73" s="195" t="s">
        <v>237</v>
      </c>
      <c r="B73" s="218" t="s">
        <v>92</v>
      </c>
      <c r="C73" s="196" t="s">
        <v>450</v>
      </c>
      <c r="D73" s="197" t="s">
        <v>123</v>
      </c>
      <c r="E73" s="197">
        <v>1</v>
      </c>
      <c r="F73" s="207"/>
      <c r="G73" s="207" t="str">
        <f>""</f>
        <v/>
      </c>
      <c r="H73" s="195"/>
      <c r="I73" s="198" t="s">
        <v>844</v>
      </c>
      <c r="J73" s="199"/>
      <c r="AN73" s="131">
        <v>2</v>
      </c>
    </row>
    <row r="74" spans="1:40" s="131" customFormat="1" outlineLevel="1" x14ac:dyDescent="0.2">
      <c r="A74" s="195" t="s">
        <v>213</v>
      </c>
      <c r="B74" s="218" t="s">
        <v>331</v>
      </c>
      <c r="C74" s="200" t="s">
        <v>451</v>
      </c>
      <c r="D74" s="201" t="s">
        <v>267</v>
      </c>
      <c r="E74" s="201">
        <f>2*1</f>
        <v>2</v>
      </c>
      <c r="F74" s="202">
        <v>0.41306744000000001</v>
      </c>
      <c r="G74" s="202">
        <f>F74*E74</f>
        <v>0.82613488000000002</v>
      </c>
      <c r="H74" s="203" t="s">
        <v>126</v>
      </c>
      <c r="I74" s="198" t="s">
        <v>844</v>
      </c>
      <c r="J74" s="205"/>
      <c r="AN74" s="131">
        <v>3</v>
      </c>
    </row>
    <row r="75" spans="1:40" s="131" customFormat="1" outlineLevel="1" x14ac:dyDescent="0.2">
      <c r="A75" s="195" t="s">
        <v>213</v>
      </c>
      <c r="B75" s="218" t="s">
        <v>332</v>
      </c>
      <c r="C75" s="200" t="s">
        <v>452</v>
      </c>
      <c r="D75" s="201" t="s">
        <v>401</v>
      </c>
      <c r="E75" s="201">
        <f>2*1</f>
        <v>2</v>
      </c>
      <c r="F75" s="202">
        <v>1.01467051</v>
      </c>
      <c r="G75" s="202">
        <f>F75*E75</f>
        <v>2.0293410199999999</v>
      </c>
      <c r="H75" s="203" t="s">
        <v>126</v>
      </c>
      <c r="I75" s="198" t="s">
        <v>844</v>
      </c>
      <c r="J75" s="205"/>
      <c r="AN75" s="131">
        <v>3</v>
      </c>
    </row>
    <row r="76" spans="1:40" s="131" customFormat="1" outlineLevel="1" x14ac:dyDescent="0.2">
      <c r="A76" s="195" t="s">
        <v>213</v>
      </c>
      <c r="B76" s="218" t="s">
        <v>333</v>
      </c>
      <c r="C76" s="200" t="s">
        <v>453</v>
      </c>
      <c r="D76" s="201" t="s">
        <v>268</v>
      </c>
      <c r="E76" s="201">
        <f>1*1</f>
        <v>1</v>
      </c>
      <c r="F76" s="202">
        <v>4.8497940000000003E-2</v>
      </c>
      <c r="G76" s="202">
        <f>F76*E76</f>
        <v>4.8497940000000003E-2</v>
      </c>
      <c r="H76" s="203" t="s">
        <v>126</v>
      </c>
      <c r="I76" s="198" t="s">
        <v>844</v>
      </c>
      <c r="J76" s="205"/>
      <c r="AN76" s="131">
        <v>3</v>
      </c>
    </row>
    <row r="77" spans="1:40" s="131" customFormat="1" x14ac:dyDescent="0.2">
      <c r="A77" s="195" t="s">
        <v>237</v>
      </c>
      <c r="B77" s="222" t="s">
        <v>92</v>
      </c>
      <c r="C77" s="196" t="s">
        <v>855</v>
      </c>
      <c r="D77" s="197" t="s">
        <v>123</v>
      </c>
      <c r="E77" s="197">
        <v>1</v>
      </c>
      <c r="F77" s="197"/>
      <c r="G77" s="197"/>
      <c r="H77" s="195"/>
      <c r="I77" s="198" t="s">
        <v>859</v>
      </c>
      <c r="J77" s="199"/>
      <c r="AN77" s="131">
        <v>2</v>
      </c>
    </row>
    <row r="78" spans="1:40" s="131" customFormat="1" x14ac:dyDescent="0.2">
      <c r="A78" s="195" t="s">
        <v>213</v>
      </c>
      <c r="B78" s="222" t="s">
        <v>331</v>
      </c>
      <c r="C78" s="200" t="s">
        <v>856</v>
      </c>
      <c r="D78" s="201" t="s">
        <v>267</v>
      </c>
      <c r="E78" s="201">
        <v>2</v>
      </c>
      <c r="F78" s="202">
        <v>0.42200146999999999</v>
      </c>
      <c r="G78" s="202">
        <f>F78*E78</f>
        <v>0.84400293999999998</v>
      </c>
      <c r="H78" s="203">
        <v>1.4300999999999999</v>
      </c>
      <c r="I78" s="198" t="s">
        <v>859</v>
      </c>
      <c r="J78" s="205"/>
      <c r="AN78" s="131">
        <v>3</v>
      </c>
    </row>
    <row r="79" spans="1:40" s="131" customFormat="1" x14ac:dyDescent="0.2">
      <c r="A79" s="195" t="s">
        <v>213</v>
      </c>
      <c r="B79" s="222" t="s">
        <v>332</v>
      </c>
      <c r="C79" s="200" t="s">
        <v>857</v>
      </c>
      <c r="D79" s="201" t="s">
        <v>401</v>
      </c>
      <c r="E79" s="201">
        <v>2</v>
      </c>
      <c r="F79" s="202">
        <v>1.0377167300000001</v>
      </c>
      <c r="G79" s="202">
        <f>F79*E79</f>
        <v>2.0754334600000002</v>
      </c>
      <c r="H79" s="203">
        <v>1.4300999999999999</v>
      </c>
      <c r="I79" s="198" t="s">
        <v>859</v>
      </c>
      <c r="J79" s="205"/>
      <c r="AN79" s="131">
        <v>3</v>
      </c>
    </row>
    <row r="80" spans="1:40" s="131" customFormat="1" x14ac:dyDescent="0.2">
      <c r="A80" s="195" t="s">
        <v>213</v>
      </c>
      <c r="B80" s="222" t="s">
        <v>333</v>
      </c>
      <c r="C80" s="200" t="s">
        <v>858</v>
      </c>
      <c r="D80" s="201" t="s">
        <v>268</v>
      </c>
      <c r="E80" s="201">
        <v>1</v>
      </c>
      <c r="F80" s="202">
        <v>4.9546880000000001E-2</v>
      </c>
      <c r="G80" s="202">
        <f>F80*E80</f>
        <v>4.9546880000000001E-2</v>
      </c>
      <c r="H80" s="203">
        <v>1.4300999999999999</v>
      </c>
      <c r="I80" s="198" t="s">
        <v>859</v>
      </c>
      <c r="J80" s="205"/>
      <c r="AN80" s="131">
        <v>3</v>
      </c>
    </row>
    <row r="81" spans="1:40" s="131" customFormat="1" x14ac:dyDescent="0.2">
      <c r="A81" s="195" t="s">
        <v>237</v>
      </c>
      <c r="B81" s="218" t="s">
        <v>93</v>
      </c>
      <c r="C81" s="196" t="s">
        <v>454</v>
      </c>
      <c r="D81" s="197" t="s">
        <v>124</v>
      </c>
      <c r="E81" s="197">
        <v>1</v>
      </c>
      <c r="F81" s="207"/>
      <c r="G81" s="207" t="str">
        <f>""</f>
        <v/>
      </c>
      <c r="H81" s="195"/>
      <c r="I81" s="198" t="s">
        <v>949</v>
      </c>
      <c r="J81" s="199"/>
      <c r="AN81" s="131">
        <v>2</v>
      </c>
    </row>
    <row r="82" spans="1:40" s="131" customFormat="1" outlineLevel="1" x14ac:dyDescent="0.2">
      <c r="A82" s="195" t="s">
        <v>213</v>
      </c>
      <c r="B82" s="218" t="s">
        <v>225</v>
      </c>
      <c r="C82" s="200" t="s">
        <v>395</v>
      </c>
      <c r="D82" s="201" t="s">
        <v>216</v>
      </c>
      <c r="E82" s="201">
        <f>4*1</f>
        <v>4</v>
      </c>
      <c r="F82" s="202">
        <v>0.65301136999999998</v>
      </c>
      <c r="G82" s="202">
        <f>F82*E82</f>
        <v>2.6120454799999999</v>
      </c>
      <c r="H82" s="203">
        <v>1.4300999999999999</v>
      </c>
      <c r="I82" s="198" t="s">
        <v>949</v>
      </c>
      <c r="J82" s="205"/>
      <c r="AN82" s="131">
        <v>3</v>
      </c>
    </row>
    <row r="83" spans="1:40" s="131" customFormat="1" outlineLevel="1" x14ac:dyDescent="0.2">
      <c r="A83" s="195" t="s">
        <v>237</v>
      </c>
      <c r="B83" s="218" t="s">
        <v>226</v>
      </c>
      <c r="C83" s="196" t="s">
        <v>455</v>
      </c>
      <c r="D83" s="197" t="s">
        <v>396</v>
      </c>
      <c r="E83" s="197">
        <f>1*1</f>
        <v>1</v>
      </c>
      <c r="F83" s="207"/>
      <c r="G83" s="207" t="str">
        <f>""</f>
        <v/>
      </c>
      <c r="H83" s="195"/>
      <c r="I83" s="198" t="s">
        <v>949</v>
      </c>
      <c r="J83" s="199"/>
      <c r="AN83" s="131">
        <v>3</v>
      </c>
    </row>
    <row r="84" spans="1:40" s="131" customFormat="1" outlineLevel="2" x14ac:dyDescent="0.2">
      <c r="A84" s="195" t="s">
        <v>213</v>
      </c>
      <c r="B84" s="218" t="s">
        <v>290</v>
      </c>
      <c r="C84" s="200" t="s">
        <v>456</v>
      </c>
      <c r="D84" s="201" t="s">
        <v>269</v>
      </c>
      <c r="E84" s="201">
        <f>1*1</f>
        <v>1</v>
      </c>
      <c r="F84" s="202">
        <v>1.0939003899999999</v>
      </c>
      <c r="G84" s="202">
        <f>F84*E84</f>
        <v>1.0939003899999999</v>
      </c>
      <c r="H84" s="203" t="s">
        <v>126</v>
      </c>
      <c r="I84" s="198" t="s">
        <v>949</v>
      </c>
      <c r="J84" s="205"/>
      <c r="AN84" s="131">
        <v>4</v>
      </c>
    </row>
    <row r="85" spans="1:40" s="131" customFormat="1" outlineLevel="2" x14ac:dyDescent="0.2">
      <c r="A85" s="195" t="s">
        <v>213</v>
      </c>
      <c r="B85" s="218" t="s">
        <v>291</v>
      </c>
      <c r="C85" s="200" t="s">
        <v>457</v>
      </c>
      <c r="D85" s="201" t="s">
        <v>458</v>
      </c>
      <c r="E85" s="201">
        <f>4*1</f>
        <v>4</v>
      </c>
      <c r="F85" s="202">
        <v>4.0194100000000002E-3</v>
      </c>
      <c r="G85" s="202">
        <f>F85*E85</f>
        <v>1.6077640000000001E-2</v>
      </c>
      <c r="H85" s="203" t="s">
        <v>126</v>
      </c>
      <c r="I85" s="198" t="s">
        <v>949</v>
      </c>
      <c r="J85" s="205"/>
      <c r="AN85" s="131">
        <v>4</v>
      </c>
    </row>
    <row r="86" spans="1:40" s="131" customFormat="1" outlineLevel="2" x14ac:dyDescent="0.2">
      <c r="A86" s="195" t="s">
        <v>213</v>
      </c>
      <c r="B86" s="218" t="s">
        <v>292</v>
      </c>
      <c r="C86" s="200" t="s">
        <v>459</v>
      </c>
      <c r="D86" s="201" t="s">
        <v>270</v>
      </c>
      <c r="E86" s="201">
        <f>1*1</f>
        <v>1</v>
      </c>
      <c r="F86" s="202">
        <v>2.593869E-2</v>
      </c>
      <c r="G86" s="202">
        <f>F86*E86</f>
        <v>2.593869E-2</v>
      </c>
      <c r="H86" s="203" t="s">
        <v>126</v>
      </c>
      <c r="I86" s="198" t="s">
        <v>949</v>
      </c>
      <c r="J86" s="205"/>
      <c r="AN86" s="131">
        <v>4</v>
      </c>
    </row>
    <row r="87" spans="1:40" s="131" customFormat="1" x14ac:dyDescent="0.2">
      <c r="A87" s="195" t="s">
        <v>237</v>
      </c>
      <c r="B87" s="222" t="s">
        <v>226</v>
      </c>
      <c r="C87" s="196" t="s">
        <v>860</v>
      </c>
      <c r="D87" s="197" t="s">
        <v>396</v>
      </c>
      <c r="E87" s="197">
        <v>1</v>
      </c>
      <c r="F87" s="197"/>
      <c r="G87" s="197"/>
      <c r="H87" s="195"/>
      <c r="I87" s="198" t="s">
        <v>950</v>
      </c>
      <c r="J87" s="199"/>
      <c r="AN87" s="131">
        <v>3</v>
      </c>
    </row>
    <row r="88" spans="1:40" s="131" customFormat="1" x14ac:dyDescent="0.2">
      <c r="A88" s="195" t="s">
        <v>213</v>
      </c>
      <c r="B88" s="222" t="s">
        <v>290</v>
      </c>
      <c r="C88" s="200" t="s">
        <v>861</v>
      </c>
      <c r="D88" s="201" t="s">
        <v>269</v>
      </c>
      <c r="E88" s="201">
        <v>1</v>
      </c>
      <c r="F88" s="202">
        <v>1.1260486999999999</v>
      </c>
      <c r="G88" s="202">
        <f>F88*E88</f>
        <v>1.1260486999999999</v>
      </c>
      <c r="H88" s="203">
        <v>1.4300999999999999</v>
      </c>
      <c r="I88" s="198" t="s">
        <v>950</v>
      </c>
      <c r="J88" s="205"/>
      <c r="AN88" s="131">
        <v>4</v>
      </c>
    </row>
    <row r="89" spans="1:40" s="131" customFormat="1" x14ac:dyDescent="0.2">
      <c r="A89" s="195" t="s">
        <v>213</v>
      </c>
      <c r="B89" s="222" t="s">
        <v>291</v>
      </c>
      <c r="C89" s="200" t="s">
        <v>862</v>
      </c>
      <c r="D89" s="201" t="s">
        <v>458</v>
      </c>
      <c r="E89" s="201">
        <v>4</v>
      </c>
      <c r="F89" s="202">
        <v>4.2167100000000002E-3</v>
      </c>
      <c r="G89" s="202">
        <f>F89*E89</f>
        <v>1.6866840000000001E-2</v>
      </c>
      <c r="H89" s="203">
        <v>1.4300999999999999</v>
      </c>
      <c r="I89" s="198" t="s">
        <v>950</v>
      </c>
      <c r="J89" s="205"/>
      <c r="AN89" s="131">
        <v>4</v>
      </c>
    </row>
    <row r="90" spans="1:40" s="131" customFormat="1" x14ac:dyDescent="0.2">
      <c r="A90" s="195" t="s">
        <v>213</v>
      </c>
      <c r="B90" s="222" t="s">
        <v>292</v>
      </c>
      <c r="C90" s="200" t="s">
        <v>863</v>
      </c>
      <c r="D90" s="201" t="s">
        <v>270</v>
      </c>
      <c r="E90" s="201">
        <v>1</v>
      </c>
      <c r="F90" s="202">
        <v>2.6720440000000002E-2</v>
      </c>
      <c r="G90" s="202">
        <f>F90*E90</f>
        <v>2.6720440000000002E-2</v>
      </c>
      <c r="H90" s="203">
        <v>1.4300999999999999</v>
      </c>
      <c r="I90" s="198" t="s">
        <v>950</v>
      </c>
      <c r="J90" s="205"/>
      <c r="AN90" s="131">
        <v>4</v>
      </c>
    </row>
    <row r="91" spans="1:40" s="131" customFormat="1" outlineLevel="1" x14ac:dyDescent="0.2">
      <c r="A91" s="195" t="s">
        <v>237</v>
      </c>
      <c r="B91" s="218" t="s">
        <v>227</v>
      </c>
      <c r="C91" s="196" t="s">
        <v>460</v>
      </c>
      <c r="D91" s="197" t="s">
        <v>217</v>
      </c>
      <c r="E91" s="197">
        <f>1*1</f>
        <v>1</v>
      </c>
      <c r="F91" s="207"/>
      <c r="G91" s="207" t="str">
        <f>""</f>
        <v/>
      </c>
      <c r="H91" s="195"/>
      <c r="I91" s="198" t="s">
        <v>949</v>
      </c>
      <c r="J91" s="199"/>
      <c r="AN91" s="131">
        <v>3</v>
      </c>
    </row>
    <row r="92" spans="1:40" s="131" customFormat="1" outlineLevel="2" x14ac:dyDescent="0.2">
      <c r="A92" s="195" t="s">
        <v>213</v>
      </c>
      <c r="B92" s="218" t="s">
        <v>293</v>
      </c>
      <c r="C92" s="200" t="s">
        <v>461</v>
      </c>
      <c r="D92" s="201" t="s">
        <v>271</v>
      </c>
      <c r="E92" s="201">
        <f>1*1</f>
        <v>1</v>
      </c>
      <c r="F92" s="202">
        <v>0.14190992999999999</v>
      </c>
      <c r="G92" s="202">
        <f t="shared" ref="G92:G115" si="6">F92*E92</f>
        <v>0.14190992999999999</v>
      </c>
      <c r="H92" s="203" t="s">
        <v>126</v>
      </c>
      <c r="I92" s="198" t="s">
        <v>949</v>
      </c>
      <c r="J92" s="205"/>
      <c r="AN92" s="131">
        <v>4</v>
      </c>
    </row>
    <row r="93" spans="1:40" s="131" customFormat="1" outlineLevel="2" x14ac:dyDescent="0.2">
      <c r="A93" s="195" t="s">
        <v>213</v>
      </c>
      <c r="B93" s="218" t="s">
        <v>294</v>
      </c>
      <c r="C93" s="200" t="s">
        <v>462</v>
      </c>
      <c r="D93" s="201" t="s">
        <v>271</v>
      </c>
      <c r="E93" s="201">
        <f>1*1</f>
        <v>1</v>
      </c>
      <c r="F93" s="202">
        <v>0.14190992999999999</v>
      </c>
      <c r="G93" s="202">
        <f t="shared" si="6"/>
        <v>0.14190992999999999</v>
      </c>
      <c r="H93" s="203" t="s">
        <v>126</v>
      </c>
      <c r="I93" s="198" t="s">
        <v>949</v>
      </c>
      <c r="J93" s="205"/>
      <c r="AN93" s="131">
        <v>4</v>
      </c>
    </row>
    <row r="94" spans="1:40" s="131" customFormat="1" outlineLevel="2" x14ac:dyDescent="0.2">
      <c r="A94" s="195" t="s">
        <v>213</v>
      </c>
      <c r="B94" s="218" t="s">
        <v>295</v>
      </c>
      <c r="C94" s="200" t="s">
        <v>456</v>
      </c>
      <c r="D94" s="201" t="s">
        <v>269</v>
      </c>
      <c r="E94" s="201">
        <f>1*1</f>
        <v>1</v>
      </c>
      <c r="F94" s="202">
        <v>1.0939003899999999</v>
      </c>
      <c r="G94" s="202">
        <f t="shared" si="6"/>
        <v>1.0939003899999999</v>
      </c>
      <c r="H94" s="203" t="s">
        <v>126</v>
      </c>
      <c r="I94" s="198" t="s">
        <v>949</v>
      </c>
      <c r="J94" s="205"/>
      <c r="AN94" s="131">
        <v>4</v>
      </c>
    </row>
    <row r="95" spans="1:40" s="131" customFormat="1" outlineLevel="2" x14ac:dyDescent="0.2">
      <c r="A95" s="195" t="s">
        <v>213</v>
      </c>
      <c r="B95" s="218" t="s">
        <v>296</v>
      </c>
      <c r="C95" s="200" t="s">
        <v>457</v>
      </c>
      <c r="D95" s="201" t="s">
        <v>458</v>
      </c>
      <c r="E95" s="201">
        <f>4*1</f>
        <v>4</v>
      </c>
      <c r="F95" s="202">
        <v>4.0194100000000002E-3</v>
      </c>
      <c r="G95" s="202">
        <f t="shared" si="6"/>
        <v>1.6077640000000001E-2</v>
      </c>
      <c r="H95" s="203" t="s">
        <v>126</v>
      </c>
      <c r="I95" s="198" t="s">
        <v>949</v>
      </c>
      <c r="J95" s="205"/>
      <c r="AN95" s="131">
        <v>4</v>
      </c>
    </row>
    <row r="96" spans="1:40" s="131" customFormat="1" outlineLevel="2" x14ac:dyDescent="0.2">
      <c r="A96" s="195" t="s">
        <v>213</v>
      </c>
      <c r="B96" s="218" t="s">
        <v>297</v>
      </c>
      <c r="C96" s="200" t="s">
        <v>459</v>
      </c>
      <c r="D96" s="201" t="s">
        <v>270</v>
      </c>
      <c r="E96" s="201">
        <f>1*1</f>
        <v>1</v>
      </c>
      <c r="F96" s="202">
        <v>2.593869E-2</v>
      </c>
      <c r="G96" s="202">
        <f t="shared" si="6"/>
        <v>2.593869E-2</v>
      </c>
      <c r="H96" s="203" t="s">
        <v>126</v>
      </c>
      <c r="I96" s="198" t="s">
        <v>949</v>
      </c>
      <c r="J96" s="205"/>
      <c r="AN96" s="131">
        <v>4</v>
      </c>
    </row>
    <row r="97" spans="1:40" s="131" customFormat="1" x14ac:dyDescent="0.2">
      <c r="A97" s="195" t="s">
        <v>237</v>
      </c>
      <c r="B97" s="222" t="s">
        <v>227</v>
      </c>
      <c r="C97" s="196" t="s">
        <v>865</v>
      </c>
      <c r="D97" s="197" t="s">
        <v>217</v>
      </c>
      <c r="E97" s="197">
        <v>1</v>
      </c>
      <c r="F97" s="197"/>
      <c r="G97" s="197"/>
      <c r="H97" s="195"/>
      <c r="I97" s="198" t="s">
        <v>950</v>
      </c>
      <c r="J97" s="199"/>
      <c r="AN97" s="131">
        <v>3</v>
      </c>
    </row>
    <row r="98" spans="1:40" s="131" customFormat="1" x14ac:dyDescent="0.2">
      <c r="A98" s="195" t="s">
        <v>213</v>
      </c>
      <c r="B98" s="222" t="s">
        <v>293</v>
      </c>
      <c r="C98" s="200" t="s">
        <v>866</v>
      </c>
      <c r="D98" s="201" t="s">
        <v>271</v>
      </c>
      <c r="E98" s="201">
        <v>1</v>
      </c>
      <c r="F98" s="202">
        <v>0.14497922999999999</v>
      </c>
      <c r="G98" s="202">
        <f>F98*E98</f>
        <v>0.14497922999999999</v>
      </c>
      <c r="H98" s="203">
        <v>1.4300999999999999</v>
      </c>
      <c r="I98" s="198" t="s">
        <v>950</v>
      </c>
      <c r="J98" s="205"/>
      <c r="AN98" s="131">
        <v>4</v>
      </c>
    </row>
    <row r="99" spans="1:40" s="131" customFormat="1" x14ac:dyDescent="0.2">
      <c r="A99" s="195" t="s">
        <v>213</v>
      </c>
      <c r="B99" s="222" t="s">
        <v>294</v>
      </c>
      <c r="C99" s="200" t="s">
        <v>867</v>
      </c>
      <c r="D99" s="201" t="s">
        <v>271</v>
      </c>
      <c r="E99" s="201">
        <v>1</v>
      </c>
      <c r="F99" s="202">
        <v>0.14497922999999999</v>
      </c>
      <c r="G99" s="202">
        <f>F99*E99</f>
        <v>0.14497922999999999</v>
      </c>
      <c r="H99" s="203">
        <v>1.4300999999999999</v>
      </c>
      <c r="I99" s="198" t="s">
        <v>950</v>
      </c>
      <c r="J99" s="205"/>
      <c r="AN99" s="131">
        <v>4</v>
      </c>
    </row>
    <row r="100" spans="1:40" s="131" customFormat="1" x14ac:dyDescent="0.2">
      <c r="A100" s="195" t="s">
        <v>213</v>
      </c>
      <c r="B100" s="222" t="s">
        <v>295</v>
      </c>
      <c r="C100" s="200" t="s">
        <v>861</v>
      </c>
      <c r="D100" s="201" t="s">
        <v>269</v>
      </c>
      <c r="E100" s="201">
        <v>1</v>
      </c>
      <c r="F100" s="202">
        <v>1.1260486999999999</v>
      </c>
      <c r="G100" s="202">
        <f>F100*E100</f>
        <v>1.1260486999999999</v>
      </c>
      <c r="H100" s="203">
        <v>1.4300999999999999</v>
      </c>
      <c r="I100" s="198" t="s">
        <v>950</v>
      </c>
      <c r="J100" s="205"/>
      <c r="AN100" s="131">
        <v>4</v>
      </c>
    </row>
    <row r="101" spans="1:40" s="131" customFormat="1" x14ac:dyDescent="0.2">
      <c r="A101" s="195" t="s">
        <v>213</v>
      </c>
      <c r="B101" s="222" t="s">
        <v>296</v>
      </c>
      <c r="C101" s="200" t="s">
        <v>862</v>
      </c>
      <c r="D101" s="201" t="s">
        <v>458</v>
      </c>
      <c r="E101" s="201">
        <v>4</v>
      </c>
      <c r="F101" s="202">
        <v>4.2167100000000002E-3</v>
      </c>
      <c r="G101" s="202">
        <f>F101*E101</f>
        <v>1.6866840000000001E-2</v>
      </c>
      <c r="H101" s="203">
        <v>1.4300999999999999</v>
      </c>
      <c r="I101" s="198" t="s">
        <v>950</v>
      </c>
      <c r="J101" s="205"/>
      <c r="AN101" s="131">
        <v>4</v>
      </c>
    </row>
    <row r="102" spans="1:40" s="131" customFormat="1" x14ac:dyDescent="0.2">
      <c r="A102" s="195" t="s">
        <v>213</v>
      </c>
      <c r="B102" s="222" t="s">
        <v>297</v>
      </c>
      <c r="C102" s="200" t="s">
        <v>863</v>
      </c>
      <c r="D102" s="201" t="s">
        <v>270</v>
      </c>
      <c r="E102" s="201">
        <v>1</v>
      </c>
      <c r="F102" s="202">
        <v>2.6720440000000002E-2</v>
      </c>
      <c r="G102" s="202">
        <f>F102*E102</f>
        <v>2.6720440000000002E-2</v>
      </c>
      <c r="H102" s="203">
        <v>1.4300999999999999</v>
      </c>
      <c r="I102" s="198" t="s">
        <v>950</v>
      </c>
      <c r="J102" s="205"/>
      <c r="AN102" s="131">
        <v>4</v>
      </c>
    </row>
    <row r="103" spans="1:40" s="131" customFormat="1" ht="25.5" outlineLevel="1" x14ac:dyDescent="0.2">
      <c r="A103" s="195" t="s">
        <v>213</v>
      </c>
      <c r="B103" s="218" t="s">
        <v>228</v>
      </c>
      <c r="C103" s="208" t="s">
        <v>397</v>
      </c>
      <c r="D103" s="206" t="s">
        <v>218</v>
      </c>
      <c r="E103" s="206">
        <f>4*1</f>
        <v>4</v>
      </c>
      <c r="F103" s="209">
        <v>7.9297699999999992E-3</v>
      </c>
      <c r="G103" s="209">
        <f t="shared" si="6"/>
        <v>3.1719079999999997E-2</v>
      </c>
      <c r="H103" s="210" t="s">
        <v>219</v>
      </c>
      <c r="I103" s="198" t="s">
        <v>949</v>
      </c>
      <c r="J103" s="212"/>
      <c r="AN103" s="131">
        <v>3</v>
      </c>
    </row>
    <row r="104" spans="1:40" s="131" customFormat="1" outlineLevel="1" x14ac:dyDescent="0.2">
      <c r="A104" s="195" t="s">
        <v>162</v>
      </c>
      <c r="B104" s="218" t="s">
        <v>229</v>
      </c>
      <c r="C104" s="208" t="s">
        <v>463</v>
      </c>
      <c r="D104" s="206" t="s">
        <v>398</v>
      </c>
      <c r="E104" s="206">
        <f>1*1</f>
        <v>1</v>
      </c>
      <c r="F104" s="209">
        <v>0.81010654000000004</v>
      </c>
      <c r="G104" s="209">
        <f t="shared" si="6"/>
        <v>0.81010654000000004</v>
      </c>
      <c r="H104" s="210" t="s">
        <v>126</v>
      </c>
      <c r="I104" s="198" t="s">
        <v>949</v>
      </c>
      <c r="J104" s="212"/>
      <c r="AN104" s="131">
        <v>3</v>
      </c>
    </row>
    <row r="105" spans="1:40" s="131" customFormat="1" ht="25.5" outlineLevel="1" x14ac:dyDescent="0.2">
      <c r="A105" s="195" t="s">
        <v>162</v>
      </c>
      <c r="B105" s="218" t="s">
        <v>230</v>
      </c>
      <c r="C105" s="153" t="s">
        <v>464</v>
      </c>
      <c r="D105" s="154" t="s">
        <v>465</v>
      </c>
      <c r="E105" s="154">
        <f>4*1</f>
        <v>4</v>
      </c>
      <c r="F105" s="155">
        <v>1.13686994</v>
      </c>
      <c r="G105" s="155">
        <f t="shared" si="6"/>
        <v>4.5474797599999999</v>
      </c>
      <c r="H105" s="156"/>
      <c r="I105" s="198" t="s">
        <v>949</v>
      </c>
      <c r="J105" s="158" t="s">
        <v>967</v>
      </c>
      <c r="AN105" s="131">
        <v>3</v>
      </c>
    </row>
    <row r="106" spans="1:40" s="131" customFormat="1" outlineLevel="1" x14ac:dyDescent="0.2">
      <c r="A106" s="195" t="s">
        <v>162</v>
      </c>
      <c r="B106" s="218" t="s">
        <v>231</v>
      </c>
      <c r="C106" s="153" t="s">
        <v>223</v>
      </c>
      <c r="D106" s="154" t="s">
        <v>224</v>
      </c>
      <c r="E106" s="154">
        <f>4*1</f>
        <v>4</v>
      </c>
      <c r="F106" s="155">
        <v>3.7896599999999998E-3</v>
      </c>
      <c r="G106" s="155">
        <f t="shared" si="6"/>
        <v>1.5158639999999999E-2</v>
      </c>
      <c r="H106" s="156"/>
      <c r="I106" s="198" t="s">
        <v>949</v>
      </c>
      <c r="J106" s="158" t="s">
        <v>967</v>
      </c>
      <c r="AN106" s="131">
        <v>3</v>
      </c>
    </row>
    <row r="107" spans="1:40" s="131" customFormat="1" outlineLevel="1" x14ac:dyDescent="0.2">
      <c r="A107" s="195" t="s">
        <v>162</v>
      </c>
      <c r="B107" s="218" t="s">
        <v>232</v>
      </c>
      <c r="C107" s="153" t="s">
        <v>372</v>
      </c>
      <c r="D107" s="154" t="s">
        <v>400</v>
      </c>
      <c r="E107" s="154">
        <f>2*1</f>
        <v>2</v>
      </c>
      <c r="F107" s="155">
        <v>1.4078300000000001E-3</v>
      </c>
      <c r="G107" s="155">
        <f t="shared" si="6"/>
        <v>2.8156600000000002E-3</v>
      </c>
      <c r="H107" s="156"/>
      <c r="I107" s="198" t="s">
        <v>949</v>
      </c>
      <c r="J107" s="158" t="s">
        <v>964</v>
      </c>
      <c r="AN107" s="131">
        <v>3</v>
      </c>
    </row>
    <row r="108" spans="1:40" s="131" customFormat="1" outlineLevel="1" x14ac:dyDescent="0.2">
      <c r="A108" s="195" t="s">
        <v>162</v>
      </c>
      <c r="B108" s="218" t="s">
        <v>233</v>
      </c>
      <c r="C108" s="153" t="s">
        <v>220</v>
      </c>
      <c r="D108" s="154" t="s">
        <v>133</v>
      </c>
      <c r="E108" s="154">
        <f>4*1</f>
        <v>4</v>
      </c>
      <c r="F108" s="155">
        <v>1.2429800000000001E-3</v>
      </c>
      <c r="G108" s="155">
        <f t="shared" si="6"/>
        <v>4.9719200000000003E-3</v>
      </c>
      <c r="H108" s="156"/>
      <c r="I108" s="198" t="s">
        <v>949</v>
      </c>
      <c r="J108" s="158" t="s">
        <v>966</v>
      </c>
      <c r="AN108" s="131">
        <v>3</v>
      </c>
    </row>
    <row r="109" spans="1:40" s="131" customFormat="1" ht="25.5" outlineLevel="1" x14ac:dyDescent="0.2">
      <c r="A109" s="195" t="s">
        <v>162</v>
      </c>
      <c r="B109" s="218" t="s">
        <v>234</v>
      </c>
      <c r="C109" s="153" t="s">
        <v>182</v>
      </c>
      <c r="D109" s="154" t="s">
        <v>466</v>
      </c>
      <c r="E109" s="154">
        <f>4*1</f>
        <v>4</v>
      </c>
      <c r="F109" s="155">
        <v>2.1730369999999999E-2</v>
      </c>
      <c r="G109" s="155">
        <f t="shared" si="6"/>
        <v>8.6921479999999995E-2</v>
      </c>
      <c r="H109" s="156"/>
      <c r="I109" s="198" t="s">
        <v>949</v>
      </c>
      <c r="J109" s="158"/>
      <c r="AN109" s="131">
        <v>3</v>
      </c>
    </row>
    <row r="110" spans="1:40" s="131" customFormat="1" ht="25.5" outlineLevel="1" x14ac:dyDescent="0.2">
      <c r="A110" s="195" t="s">
        <v>162</v>
      </c>
      <c r="B110" s="218" t="s">
        <v>235</v>
      </c>
      <c r="C110" s="153" t="s">
        <v>182</v>
      </c>
      <c r="D110" s="154" t="s">
        <v>467</v>
      </c>
      <c r="E110" s="154">
        <f>2*1</f>
        <v>2</v>
      </c>
      <c r="F110" s="155">
        <v>1.3838680000000001E-2</v>
      </c>
      <c r="G110" s="155">
        <f t="shared" si="6"/>
        <v>2.7677360000000002E-2</v>
      </c>
      <c r="H110" s="156"/>
      <c r="I110" s="198" t="s">
        <v>949</v>
      </c>
      <c r="J110" s="158"/>
      <c r="AN110" s="131">
        <v>3</v>
      </c>
    </row>
    <row r="111" spans="1:40" s="131" customFormat="1" ht="25.5" outlineLevel="1" x14ac:dyDescent="0.2">
      <c r="A111" s="195" t="s">
        <v>162</v>
      </c>
      <c r="B111" s="218" t="s">
        <v>236</v>
      </c>
      <c r="C111" s="153" t="s">
        <v>149</v>
      </c>
      <c r="D111" s="154" t="s">
        <v>468</v>
      </c>
      <c r="E111" s="154">
        <f>6*1</f>
        <v>6</v>
      </c>
      <c r="F111" s="155">
        <v>9.0190200000000009E-3</v>
      </c>
      <c r="G111" s="155">
        <f t="shared" si="6"/>
        <v>5.4114120000000002E-2</v>
      </c>
      <c r="H111" s="156"/>
      <c r="I111" s="198" t="s">
        <v>949</v>
      </c>
      <c r="J111" s="158"/>
      <c r="AN111" s="131">
        <v>3</v>
      </c>
    </row>
    <row r="112" spans="1:40" s="131" customFormat="1" outlineLevel="1" x14ac:dyDescent="0.2">
      <c r="A112" s="195" t="s">
        <v>162</v>
      </c>
      <c r="B112" s="218" t="s">
        <v>399</v>
      </c>
      <c r="C112" s="153" t="s">
        <v>221</v>
      </c>
      <c r="D112" s="154" t="s">
        <v>222</v>
      </c>
      <c r="E112" s="154">
        <f>2*1</f>
        <v>2</v>
      </c>
      <c r="F112" s="155">
        <v>2.1575700000000001E-3</v>
      </c>
      <c r="G112" s="155">
        <f t="shared" si="6"/>
        <v>4.3151400000000003E-3</v>
      </c>
      <c r="H112" s="156"/>
      <c r="I112" s="198" t="s">
        <v>949</v>
      </c>
      <c r="J112" s="158"/>
      <c r="AN112" s="131">
        <v>3</v>
      </c>
    </row>
    <row r="113" spans="1:40" s="131" customFormat="1" collapsed="1" x14ac:dyDescent="0.2">
      <c r="A113" s="195" t="s">
        <v>213</v>
      </c>
      <c r="B113" s="218" t="s">
        <v>94</v>
      </c>
      <c r="C113" s="208" t="s">
        <v>469</v>
      </c>
      <c r="D113" s="206" t="s">
        <v>272</v>
      </c>
      <c r="E113" s="206">
        <v>4</v>
      </c>
      <c r="F113" s="209">
        <v>0.03</v>
      </c>
      <c r="G113" s="209">
        <f t="shared" si="6"/>
        <v>0.12</v>
      </c>
      <c r="H113" s="210" t="s">
        <v>126</v>
      </c>
      <c r="I113" s="198" t="s">
        <v>844</v>
      </c>
      <c r="J113" s="212"/>
      <c r="AN113" s="131">
        <v>2</v>
      </c>
    </row>
    <row r="114" spans="1:40" s="131" customFormat="1" x14ac:dyDescent="0.2">
      <c r="A114" s="195" t="s">
        <v>213</v>
      </c>
      <c r="B114" s="218" t="s">
        <v>94</v>
      </c>
      <c r="C114" s="208" t="s">
        <v>469</v>
      </c>
      <c r="D114" s="206" t="s">
        <v>272</v>
      </c>
      <c r="E114" s="206">
        <v>4</v>
      </c>
      <c r="F114" s="209">
        <v>0.03</v>
      </c>
      <c r="G114" s="209">
        <f t="shared" si="6"/>
        <v>0.12</v>
      </c>
      <c r="H114" s="210">
        <v>1.4300999999999999</v>
      </c>
      <c r="I114" s="198" t="s">
        <v>859</v>
      </c>
      <c r="J114" s="212"/>
      <c r="AN114" s="131">
        <v>2</v>
      </c>
    </row>
    <row r="115" spans="1:40" s="131" customFormat="1" x14ac:dyDescent="0.2">
      <c r="A115" s="195" t="s">
        <v>213</v>
      </c>
      <c r="B115" s="218" t="s">
        <v>95</v>
      </c>
      <c r="C115" s="208" t="s">
        <v>470</v>
      </c>
      <c r="D115" s="206" t="s">
        <v>125</v>
      </c>
      <c r="E115" s="206">
        <v>1</v>
      </c>
      <c r="F115" s="209">
        <v>0.32</v>
      </c>
      <c r="G115" s="209">
        <f t="shared" si="6"/>
        <v>0.32</v>
      </c>
      <c r="H115" s="210" t="s">
        <v>126</v>
      </c>
      <c r="I115" s="198" t="s">
        <v>844</v>
      </c>
      <c r="J115" s="212"/>
      <c r="AN115" s="131">
        <v>2</v>
      </c>
    </row>
    <row r="116" spans="1:40" s="131" customFormat="1" x14ac:dyDescent="0.2">
      <c r="A116" s="195" t="s">
        <v>237</v>
      </c>
      <c r="B116" s="218" t="s">
        <v>96</v>
      </c>
      <c r="C116" s="196" t="s">
        <v>953</v>
      </c>
      <c r="D116" s="197" t="s">
        <v>954</v>
      </c>
      <c r="E116" s="197">
        <v>1</v>
      </c>
      <c r="F116" s="207"/>
      <c r="G116" s="207" t="str">
        <f>""</f>
        <v/>
      </c>
      <c r="H116" s="195"/>
      <c r="I116" s="198"/>
      <c r="J116" s="199"/>
      <c r="AN116" s="131">
        <v>2</v>
      </c>
    </row>
    <row r="117" spans="1:40" s="131" customFormat="1" outlineLevel="1" x14ac:dyDescent="0.2">
      <c r="A117" s="195" t="s">
        <v>237</v>
      </c>
      <c r="B117" s="218" t="s">
        <v>188</v>
      </c>
      <c r="C117" s="196" t="s">
        <v>473</v>
      </c>
      <c r="D117" s="197" t="s">
        <v>474</v>
      </c>
      <c r="E117" s="197">
        <f>1*1</f>
        <v>1</v>
      </c>
      <c r="F117" s="207"/>
      <c r="G117" s="207" t="str">
        <f>""</f>
        <v/>
      </c>
      <c r="H117" s="195"/>
      <c r="I117" s="198"/>
      <c r="J117" s="199"/>
      <c r="AN117" s="131">
        <v>3</v>
      </c>
    </row>
    <row r="118" spans="1:40" s="131" customFormat="1" outlineLevel="2" x14ac:dyDescent="0.2">
      <c r="A118" s="195" t="s">
        <v>213</v>
      </c>
      <c r="B118" s="218" t="s">
        <v>334</v>
      </c>
      <c r="C118" s="200" t="s">
        <v>475</v>
      </c>
      <c r="D118" s="201" t="s">
        <v>282</v>
      </c>
      <c r="E118" s="201">
        <f>1*1</f>
        <v>1</v>
      </c>
      <c r="F118" s="202">
        <v>0.81</v>
      </c>
      <c r="G118" s="202">
        <f t="shared" ref="G118:G136" si="7">F118*E118</f>
        <v>0.81</v>
      </c>
      <c r="H118" s="203" t="s">
        <v>126</v>
      </c>
      <c r="I118" s="204"/>
      <c r="J118" s="205"/>
      <c r="AN118" s="131">
        <v>4</v>
      </c>
    </row>
    <row r="119" spans="1:40" s="131" customFormat="1" outlineLevel="2" x14ac:dyDescent="0.2">
      <c r="A119" s="195" t="s">
        <v>213</v>
      </c>
      <c r="B119" s="218" t="s">
        <v>335</v>
      </c>
      <c r="C119" s="200" t="s">
        <v>387</v>
      </c>
      <c r="D119" s="201" t="s">
        <v>283</v>
      </c>
      <c r="E119" s="201">
        <f>2*1</f>
        <v>2</v>
      </c>
      <c r="F119" s="202">
        <v>0.05</v>
      </c>
      <c r="G119" s="202">
        <f t="shared" si="7"/>
        <v>0.1</v>
      </c>
      <c r="H119" s="203" t="s">
        <v>126</v>
      </c>
      <c r="I119" s="204"/>
      <c r="J119" s="205"/>
      <c r="AN119" s="131">
        <v>4</v>
      </c>
    </row>
    <row r="120" spans="1:40" s="131" customFormat="1" outlineLevel="2" x14ac:dyDescent="0.2">
      <c r="A120" s="195" t="s">
        <v>213</v>
      </c>
      <c r="B120" s="218" t="s">
        <v>336</v>
      </c>
      <c r="C120" s="200" t="s">
        <v>476</v>
      </c>
      <c r="D120" s="201" t="s">
        <v>477</v>
      </c>
      <c r="E120" s="201">
        <f>2*1</f>
        <v>2</v>
      </c>
      <c r="F120" s="202">
        <v>0.1</v>
      </c>
      <c r="G120" s="202">
        <f t="shared" si="7"/>
        <v>0.2</v>
      </c>
      <c r="H120" s="203" t="s">
        <v>126</v>
      </c>
      <c r="I120" s="204"/>
      <c r="J120" s="205"/>
      <c r="AN120" s="131">
        <v>4</v>
      </c>
    </row>
    <row r="121" spans="1:40" s="131" customFormat="1" outlineLevel="2" x14ac:dyDescent="0.2">
      <c r="A121" s="195" t="s">
        <v>213</v>
      </c>
      <c r="B121" s="218" t="s">
        <v>337</v>
      </c>
      <c r="C121" s="200" t="s">
        <v>478</v>
      </c>
      <c r="D121" s="201" t="s">
        <v>479</v>
      </c>
      <c r="E121" s="201">
        <f>1*1</f>
        <v>1</v>
      </c>
      <c r="F121" s="202">
        <v>0.67</v>
      </c>
      <c r="G121" s="202">
        <f t="shared" si="7"/>
        <v>0.67</v>
      </c>
      <c r="H121" s="203" t="s">
        <v>126</v>
      </c>
      <c r="I121" s="204"/>
      <c r="J121" s="205"/>
      <c r="AN121" s="131">
        <v>4</v>
      </c>
    </row>
    <row r="122" spans="1:40" s="131" customFormat="1" outlineLevel="2" x14ac:dyDescent="0.2">
      <c r="A122" s="195" t="s">
        <v>213</v>
      </c>
      <c r="B122" s="218" t="s">
        <v>338</v>
      </c>
      <c r="C122" s="200" t="s">
        <v>480</v>
      </c>
      <c r="D122" s="201" t="s">
        <v>481</v>
      </c>
      <c r="E122" s="201">
        <f>2*1</f>
        <v>2</v>
      </c>
      <c r="F122" s="202">
        <v>0.02</v>
      </c>
      <c r="G122" s="202">
        <f t="shared" si="7"/>
        <v>0.04</v>
      </c>
      <c r="H122" s="203" t="s">
        <v>126</v>
      </c>
      <c r="I122" s="204"/>
      <c r="J122" s="205"/>
      <c r="AN122" s="131">
        <v>4</v>
      </c>
    </row>
    <row r="123" spans="1:40" s="131" customFormat="1" outlineLevel="2" x14ac:dyDescent="0.2">
      <c r="A123" s="195" t="s">
        <v>213</v>
      </c>
      <c r="B123" s="218" t="s">
        <v>339</v>
      </c>
      <c r="C123" s="200" t="s">
        <v>482</v>
      </c>
      <c r="D123" s="201" t="s">
        <v>483</v>
      </c>
      <c r="E123" s="201">
        <f>1*1</f>
        <v>1</v>
      </c>
      <c r="F123" s="202">
        <v>3.07</v>
      </c>
      <c r="G123" s="202">
        <f t="shared" si="7"/>
        <v>3.07</v>
      </c>
      <c r="H123" s="203" t="s">
        <v>126</v>
      </c>
      <c r="I123" s="204"/>
      <c r="J123" s="205"/>
      <c r="AN123" s="131">
        <v>4</v>
      </c>
    </row>
    <row r="124" spans="1:40" s="131" customFormat="1" outlineLevel="2" x14ac:dyDescent="0.2">
      <c r="A124" s="195" t="s">
        <v>213</v>
      </c>
      <c r="B124" s="218" t="s">
        <v>340</v>
      </c>
      <c r="C124" s="200" t="s">
        <v>484</v>
      </c>
      <c r="D124" s="201" t="s">
        <v>483</v>
      </c>
      <c r="E124" s="201">
        <f>1*1</f>
        <v>1</v>
      </c>
      <c r="F124" s="202">
        <v>3.07</v>
      </c>
      <c r="G124" s="202">
        <f t="shared" si="7"/>
        <v>3.07</v>
      </c>
      <c r="H124" s="203" t="s">
        <v>126</v>
      </c>
      <c r="I124" s="204"/>
      <c r="J124" s="205"/>
      <c r="AN124" s="131">
        <v>4</v>
      </c>
    </row>
    <row r="125" spans="1:40" s="131" customFormat="1" outlineLevel="2" x14ac:dyDescent="0.2">
      <c r="A125" s="195" t="s">
        <v>213</v>
      </c>
      <c r="B125" s="218" t="s">
        <v>341</v>
      </c>
      <c r="C125" s="200" t="s">
        <v>485</v>
      </c>
      <c r="D125" s="201" t="s">
        <v>486</v>
      </c>
      <c r="E125" s="201">
        <f>1*1</f>
        <v>1</v>
      </c>
      <c r="F125" s="202">
        <v>0.09</v>
      </c>
      <c r="G125" s="202">
        <f t="shared" si="7"/>
        <v>0.09</v>
      </c>
      <c r="H125" s="203" t="s">
        <v>126</v>
      </c>
      <c r="I125" s="204"/>
      <c r="J125" s="205"/>
      <c r="AN125" s="131">
        <v>4</v>
      </c>
    </row>
    <row r="126" spans="1:40" s="131" customFormat="1" outlineLevel="2" x14ac:dyDescent="0.2">
      <c r="A126" s="195" t="s">
        <v>213</v>
      </c>
      <c r="B126" s="218" t="s">
        <v>342</v>
      </c>
      <c r="C126" s="200" t="s">
        <v>487</v>
      </c>
      <c r="D126" s="201" t="s">
        <v>488</v>
      </c>
      <c r="E126" s="201">
        <f>1*1</f>
        <v>1</v>
      </c>
      <c r="F126" s="202">
        <v>0.03</v>
      </c>
      <c r="G126" s="202">
        <f t="shared" si="7"/>
        <v>0.03</v>
      </c>
      <c r="H126" s="203" t="s">
        <v>126</v>
      </c>
      <c r="I126" s="204"/>
      <c r="J126" s="205"/>
      <c r="AN126" s="131">
        <v>4</v>
      </c>
    </row>
    <row r="127" spans="1:40" s="131" customFormat="1" outlineLevel="2" x14ac:dyDescent="0.2">
      <c r="A127" s="195" t="s">
        <v>213</v>
      </c>
      <c r="B127" s="218" t="s">
        <v>343</v>
      </c>
      <c r="C127" s="200" t="s">
        <v>489</v>
      </c>
      <c r="D127" s="201" t="s">
        <v>490</v>
      </c>
      <c r="E127" s="201">
        <f>4*1</f>
        <v>4</v>
      </c>
      <c r="F127" s="202">
        <v>0.01</v>
      </c>
      <c r="G127" s="202">
        <f t="shared" si="7"/>
        <v>0.04</v>
      </c>
      <c r="H127" s="203" t="s">
        <v>126</v>
      </c>
      <c r="I127" s="204"/>
      <c r="J127" s="205"/>
      <c r="AN127" s="131">
        <v>4</v>
      </c>
    </row>
    <row r="128" spans="1:40" s="131" customFormat="1" outlineLevel="2" x14ac:dyDescent="0.2">
      <c r="A128" s="195" t="s">
        <v>213</v>
      </c>
      <c r="B128" s="218" t="s">
        <v>344</v>
      </c>
      <c r="C128" s="200" t="s">
        <v>388</v>
      </c>
      <c r="D128" s="201" t="s">
        <v>389</v>
      </c>
      <c r="E128" s="201">
        <f>1*1</f>
        <v>1</v>
      </c>
      <c r="F128" s="202">
        <v>0.04</v>
      </c>
      <c r="G128" s="202">
        <f t="shared" si="7"/>
        <v>0.04</v>
      </c>
      <c r="H128" s="203" t="s">
        <v>126</v>
      </c>
      <c r="I128" s="204"/>
      <c r="J128" s="205"/>
      <c r="AN128" s="131">
        <v>4</v>
      </c>
    </row>
    <row r="129" spans="1:40" s="131" customFormat="1" outlineLevel="2" x14ac:dyDescent="0.2">
      <c r="A129" s="195" t="s">
        <v>213</v>
      </c>
      <c r="B129" s="218" t="s">
        <v>345</v>
      </c>
      <c r="C129" s="200" t="s">
        <v>491</v>
      </c>
      <c r="D129" s="201" t="s">
        <v>492</v>
      </c>
      <c r="E129" s="201">
        <f>1*1</f>
        <v>1</v>
      </c>
      <c r="F129" s="202">
        <v>0.13</v>
      </c>
      <c r="G129" s="202">
        <f t="shared" si="7"/>
        <v>0.13</v>
      </c>
      <c r="H129" s="203" t="s">
        <v>126</v>
      </c>
      <c r="I129" s="204"/>
      <c r="J129" s="205"/>
      <c r="AN129" s="131">
        <v>4</v>
      </c>
    </row>
    <row r="130" spans="1:40" s="131" customFormat="1" outlineLevel="2" x14ac:dyDescent="0.2">
      <c r="A130" s="195" t="s">
        <v>213</v>
      </c>
      <c r="B130" s="218" t="s">
        <v>346</v>
      </c>
      <c r="C130" s="200" t="s">
        <v>493</v>
      </c>
      <c r="D130" s="201" t="s">
        <v>494</v>
      </c>
      <c r="E130" s="201">
        <f>1*1</f>
        <v>1</v>
      </c>
      <c r="F130" s="202">
        <v>0.46</v>
      </c>
      <c r="G130" s="202">
        <f t="shared" si="7"/>
        <v>0.46</v>
      </c>
      <c r="H130" s="203" t="s">
        <v>126</v>
      </c>
      <c r="I130" s="204"/>
      <c r="J130" s="205"/>
      <c r="AN130" s="131">
        <v>4</v>
      </c>
    </row>
    <row r="131" spans="1:40" s="131" customFormat="1" outlineLevel="2" x14ac:dyDescent="0.2">
      <c r="A131" s="195" t="s">
        <v>213</v>
      </c>
      <c r="B131" s="218" t="s">
        <v>347</v>
      </c>
      <c r="C131" s="200" t="s">
        <v>495</v>
      </c>
      <c r="D131" s="201" t="s">
        <v>496</v>
      </c>
      <c r="E131" s="201">
        <f>2*1</f>
        <v>2</v>
      </c>
      <c r="F131" s="202">
        <v>0.49</v>
      </c>
      <c r="G131" s="202">
        <f t="shared" si="7"/>
        <v>0.98</v>
      </c>
      <c r="H131" s="203" t="s">
        <v>126</v>
      </c>
      <c r="I131" s="204"/>
      <c r="J131" s="205"/>
      <c r="AN131" s="131">
        <v>4</v>
      </c>
    </row>
    <row r="132" spans="1:40" s="131" customFormat="1" outlineLevel="2" x14ac:dyDescent="0.2">
      <c r="A132" s="195" t="s">
        <v>213</v>
      </c>
      <c r="B132" s="218" t="s">
        <v>348</v>
      </c>
      <c r="C132" s="200" t="s">
        <v>497</v>
      </c>
      <c r="D132" s="201" t="s">
        <v>498</v>
      </c>
      <c r="E132" s="201">
        <f>2*1</f>
        <v>2</v>
      </c>
      <c r="F132" s="202">
        <v>0.45</v>
      </c>
      <c r="G132" s="202">
        <f t="shared" si="7"/>
        <v>0.9</v>
      </c>
      <c r="H132" s="203" t="s">
        <v>126</v>
      </c>
      <c r="I132" s="204"/>
      <c r="J132" s="205"/>
      <c r="AN132" s="131">
        <v>4</v>
      </c>
    </row>
    <row r="133" spans="1:40" s="131" customFormat="1" outlineLevel="2" x14ac:dyDescent="0.2">
      <c r="A133" s="195" t="s">
        <v>213</v>
      </c>
      <c r="B133" s="218" t="s">
        <v>499</v>
      </c>
      <c r="C133" s="200" t="s">
        <v>500</v>
      </c>
      <c r="D133" s="201" t="s">
        <v>501</v>
      </c>
      <c r="E133" s="201">
        <f>2*1</f>
        <v>2</v>
      </c>
      <c r="F133" s="202">
        <v>7.0000000000000007E-2</v>
      </c>
      <c r="G133" s="202">
        <f t="shared" si="7"/>
        <v>0.14000000000000001</v>
      </c>
      <c r="H133" s="203" t="s">
        <v>126</v>
      </c>
      <c r="I133" s="204"/>
      <c r="J133" s="205"/>
      <c r="AN133" s="131">
        <v>4</v>
      </c>
    </row>
    <row r="134" spans="1:40" s="131" customFormat="1" outlineLevel="2" x14ac:dyDescent="0.2">
      <c r="A134" s="195" t="s">
        <v>213</v>
      </c>
      <c r="B134" s="218" t="s">
        <v>502</v>
      </c>
      <c r="C134" s="200" t="s">
        <v>503</v>
      </c>
      <c r="D134" s="201" t="s">
        <v>504</v>
      </c>
      <c r="E134" s="201">
        <f>2*1</f>
        <v>2</v>
      </c>
      <c r="F134" s="202">
        <v>0.03</v>
      </c>
      <c r="G134" s="202">
        <f t="shared" si="7"/>
        <v>0.06</v>
      </c>
      <c r="H134" s="203" t="s">
        <v>126</v>
      </c>
      <c r="I134" s="204"/>
      <c r="J134" s="205"/>
      <c r="AN134" s="131">
        <v>4</v>
      </c>
    </row>
    <row r="135" spans="1:40" s="131" customFormat="1" outlineLevel="2" x14ac:dyDescent="0.2">
      <c r="A135" s="195" t="s">
        <v>213</v>
      </c>
      <c r="B135" s="218" t="s">
        <v>505</v>
      </c>
      <c r="C135" s="200" t="s">
        <v>506</v>
      </c>
      <c r="D135" s="201" t="s">
        <v>507</v>
      </c>
      <c r="E135" s="201">
        <f>1*1</f>
        <v>1</v>
      </c>
      <c r="F135" s="202">
        <v>0.39</v>
      </c>
      <c r="G135" s="202">
        <f t="shared" si="7"/>
        <v>0.39</v>
      </c>
      <c r="H135" s="203" t="s">
        <v>126</v>
      </c>
      <c r="I135" s="204"/>
      <c r="J135" s="205"/>
      <c r="AN135" s="131">
        <v>4</v>
      </c>
    </row>
    <row r="136" spans="1:40" s="131" customFormat="1" outlineLevel="2" x14ac:dyDescent="0.2">
      <c r="A136" s="195" t="s">
        <v>213</v>
      </c>
      <c r="B136" s="218" t="s">
        <v>508</v>
      </c>
      <c r="C136" s="200" t="s">
        <v>509</v>
      </c>
      <c r="D136" s="201" t="s">
        <v>510</v>
      </c>
      <c r="E136" s="201">
        <f>2*1</f>
        <v>2</v>
      </c>
      <c r="F136" s="202">
        <v>0.02</v>
      </c>
      <c r="G136" s="202">
        <f t="shared" si="7"/>
        <v>0.04</v>
      </c>
      <c r="H136" s="203" t="s">
        <v>126</v>
      </c>
      <c r="I136" s="204"/>
      <c r="J136" s="205"/>
      <c r="AN136" s="131">
        <v>4</v>
      </c>
    </row>
    <row r="137" spans="1:40" s="131" customFormat="1" outlineLevel="2" x14ac:dyDescent="0.2">
      <c r="A137" s="195" t="s">
        <v>162</v>
      </c>
      <c r="B137" s="218" t="s">
        <v>511</v>
      </c>
      <c r="C137" s="153" t="s">
        <v>284</v>
      </c>
      <c r="D137" s="154" t="s">
        <v>285</v>
      </c>
      <c r="E137" s="154">
        <f>12*1</f>
        <v>12</v>
      </c>
      <c r="F137" s="155">
        <v>0</v>
      </c>
      <c r="G137" s="155">
        <f>F137*E137</f>
        <v>0</v>
      </c>
      <c r="H137" s="156"/>
      <c r="I137" s="157"/>
      <c r="J137" s="158"/>
      <c r="AN137" s="131">
        <v>4</v>
      </c>
    </row>
    <row r="138" spans="1:40" s="131" customFormat="1" collapsed="1" x14ac:dyDescent="0.2">
      <c r="A138" s="195" t="s">
        <v>237</v>
      </c>
      <c r="B138" s="222" t="s">
        <v>188</v>
      </c>
      <c r="C138" s="196" t="s">
        <v>837</v>
      </c>
      <c r="D138" s="197" t="s">
        <v>474</v>
      </c>
      <c r="E138" s="197">
        <v>1</v>
      </c>
      <c r="F138" s="197"/>
      <c r="G138" s="197"/>
      <c r="H138" s="195"/>
      <c r="I138" s="198" t="s">
        <v>840</v>
      </c>
      <c r="J138" s="199"/>
      <c r="AN138" s="131">
        <v>3</v>
      </c>
    </row>
    <row r="139" spans="1:40" s="131" customFormat="1" x14ac:dyDescent="0.2">
      <c r="A139" s="195" t="s">
        <v>213</v>
      </c>
      <c r="B139" s="222" t="s">
        <v>334</v>
      </c>
      <c r="C139" s="200" t="s">
        <v>475</v>
      </c>
      <c r="D139" s="201" t="s">
        <v>282</v>
      </c>
      <c r="E139" s="201">
        <v>1</v>
      </c>
      <c r="F139" s="202">
        <v>0.81</v>
      </c>
      <c r="G139" s="202">
        <f t="shared" ref="G139:G157" si="8">F139*E139</f>
        <v>0.81</v>
      </c>
      <c r="H139" s="203" t="s">
        <v>126</v>
      </c>
      <c r="I139" s="198" t="s">
        <v>840</v>
      </c>
      <c r="J139" s="205"/>
      <c r="AN139" s="131">
        <v>4</v>
      </c>
    </row>
    <row r="140" spans="1:40" s="131" customFormat="1" x14ac:dyDescent="0.2">
      <c r="A140" s="195" t="s">
        <v>213</v>
      </c>
      <c r="B140" s="222" t="s">
        <v>335</v>
      </c>
      <c r="C140" s="200" t="s">
        <v>387</v>
      </c>
      <c r="D140" s="201" t="s">
        <v>283</v>
      </c>
      <c r="E140" s="201">
        <v>2</v>
      </c>
      <c r="F140" s="202">
        <v>0.05</v>
      </c>
      <c r="G140" s="202">
        <f t="shared" si="8"/>
        <v>0.1</v>
      </c>
      <c r="H140" s="203" t="s">
        <v>126</v>
      </c>
      <c r="I140" s="198" t="s">
        <v>840</v>
      </c>
      <c r="J140" s="205"/>
      <c r="AN140" s="131">
        <v>4</v>
      </c>
    </row>
    <row r="141" spans="1:40" s="131" customFormat="1" x14ac:dyDescent="0.2">
      <c r="A141" s="195" t="s">
        <v>213</v>
      </c>
      <c r="B141" s="222" t="s">
        <v>336</v>
      </c>
      <c r="C141" s="200" t="s">
        <v>476</v>
      </c>
      <c r="D141" s="201" t="s">
        <v>477</v>
      </c>
      <c r="E141" s="201">
        <v>2</v>
      </c>
      <c r="F141" s="202">
        <v>0.1</v>
      </c>
      <c r="G141" s="202">
        <f t="shared" si="8"/>
        <v>0.2</v>
      </c>
      <c r="H141" s="203" t="s">
        <v>126</v>
      </c>
      <c r="I141" s="198" t="s">
        <v>840</v>
      </c>
      <c r="J141" s="205"/>
      <c r="AN141" s="131">
        <v>4</v>
      </c>
    </row>
    <row r="142" spans="1:40" s="131" customFormat="1" x14ac:dyDescent="0.2">
      <c r="A142" s="195" t="s">
        <v>213</v>
      </c>
      <c r="B142" s="222" t="s">
        <v>337</v>
      </c>
      <c r="C142" s="200" t="s">
        <v>478</v>
      </c>
      <c r="D142" s="201" t="s">
        <v>479</v>
      </c>
      <c r="E142" s="201">
        <v>1</v>
      </c>
      <c r="F142" s="202">
        <v>0.67</v>
      </c>
      <c r="G142" s="202">
        <f t="shared" si="8"/>
        <v>0.67</v>
      </c>
      <c r="H142" s="203" t="s">
        <v>126</v>
      </c>
      <c r="I142" s="198" t="s">
        <v>840</v>
      </c>
      <c r="J142" s="205"/>
      <c r="AN142" s="131">
        <v>4</v>
      </c>
    </row>
    <row r="143" spans="1:40" s="131" customFormat="1" x14ac:dyDescent="0.2">
      <c r="A143" s="195" t="s">
        <v>213</v>
      </c>
      <c r="B143" s="222" t="s">
        <v>338</v>
      </c>
      <c r="C143" s="200" t="s">
        <v>480</v>
      </c>
      <c r="D143" s="201" t="s">
        <v>481</v>
      </c>
      <c r="E143" s="201">
        <v>2</v>
      </c>
      <c r="F143" s="202">
        <v>0.02</v>
      </c>
      <c r="G143" s="202">
        <f t="shared" si="8"/>
        <v>0.04</v>
      </c>
      <c r="H143" s="203" t="s">
        <v>126</v>
      </c>
      <c r="I143" s="198" t="s">
        <v>840</v>
      </c>
      <c r="J143" s="205"/>
      <c r="AN143" s="131">
        <v>4</v>
      </c>
    </row>
    <row r="144" spans="1:40" s="131" customFormat="1" x14ac:dyDescent="0.2">
      <c r="A144" s="195" t="s">
        <v>213</v>
      </c>
      <c r="B144" s="222" t="s">
        <v>339</v>
      </c>
      <c r="C144" s="200" t="s">
        <v>482</v>
      </c>
      <c r="D144" s="201" t="s">
        <v>483</v>
      </c>
      <c r="E144" s="201">
        <v>1</v>
      </c>
      <c r="F144" s="202">
        <v>3.07</v>
      </c>
      <c r="G144" s="202">
        <f t="shared" si="8"/>
        <v>3.07</v>
      </c>
      <c r="H144" s="203" t="s">
        <v>126</v>
      </c>
      <c r="I144" s="198" t="s">
        <v>840</v>
      </c>
      <c r="J144" s="205"/>
      <c r="AN144" s="131">
        <v>4</v>
      </c>
    </row>
    <row r="145" spans="1:40" s="131" customFormat="1" x14ac:dyDescent="0.2">
      <c r="A145" s="195" t="s">
        <v>213</v>
      </c>
      <c r="B145" s="222" t="s">
        <v>340</v>
      </c>
      <c r="C145" s="200" t="s">
        <v>484</v>
      </c>
      <c r="D145" s="201" t="s">
        <v>483</v>
      </c>
      <c r="E145" s="201">
        <v>1</v>
      </c>
      <c r="F145" s="202">
        <v>3.07</v>
      </c>
      <c r="G145" s="202">
        <f t="shared" si="8"/>
        <v>3.07</v>
      </c>
      <c r="H145" s="203" t="s">
        <v>126</v>
      </c>
      <c r="I145" s="198" t="s">
        <v>840</v>
      </c>
      <c r="J145" s="205"/>
      <c r="AN145" s="131">
        <v>4</v>
      </c>
    </row>
    <row r="146" spans="1:40" s="131" customFormat="1" x14ac:dyDescent="0.2">
      <c r="A146" s="195" t="s">
        <v>213</v>
      </c>
      <c r="B146" s="222" t="s">
        <v>341</v>
      </c>
      <c r="C146" s="200" t="s">
        <v>485</v>
      </c>
      <c r="D146" s="201" t="s">
        <v>486</v>
      </c>
      <c r="E146" s="201">
        <v>1</v>
      </c>
      <c r="F146" s="202">
        <v>0.09</v>
      </c>
      <c r="G146" s="202">
        <f t="shared" si="8"/>
        <v>0.09</v>
      </c>
      <c r="H146" s="203" t="s">
        <v>126</v>
      </c>
      <c r="I146" s="198" t="s">
        <v>840</v>
      </c>
      <c r="J146" s="205"/>
      <c r="AN146" s="131">
        <v>4</v>
      </c>
    </row>
    <row r="147" spans="1:40" s="131" customFormat="1" x14ac:dyDescent="0.2">
      <c r="A147" s="195" t="s">
        <v>213</v>
      </c>
      <c r="B147" s="222" t="s">
        <v>342</v>
      </c>
      <c r="C147" s="200" t="s">
        <v>487</v>
      </c>
      <c r="D147" s="201" t="s">
        <v>488</v>
      </c>
      <c r="E147" s="201">
        <v>1</v>
      </c>
      <c r="F147" s="202">
        <v>0.03</v>
      </c>
      <c r="G147" s="202">
        <f t="shared" si="8"/>
        <v>0.03</v>
      </c>
      <c r="H147" s="203" t="s">
        <v>126</v>
      </c>
      <c r="I147" s="198" t="s">
        <v>840</v>
      </c>
      <c r="J147" s="205"/>
      <c r="AN147" s="131">
        <v>4</v>
      </c>
    </row>
    <row r="148" spans="1:40" s="131" customFormat="1" x14ac:dyDescent="0.2">
      <c r="A148" s="195" t="s">
        <v>213</v>
      </c>
      <c r="B148" s="222" t="s">
        <v>343</v>
      </c>
      <c r="C148" s="200" t="s">
        <v>489</v>
      </c>
      <c r="D148" s="201" t="s">
        <v>490</v>
      </c>
      <c r="E148" s="201">
        <v>4</v>
      </c>
      <c r="F148" s="202">
        <v>0.01</v>
      </c>
      <c r="G148" s="202">
        <f t="shared" si="8"/>
        <v>0.04</v>
      </c>
      <c r="H148" s="203" t="s">
        <v>126</v>
      </c>
      <c r="I148" s="198" t="s">
        <v>840</v>
      </c>
      <c r="J148" s="205"/>
      <c r="AN148" s="131">
        <v>4</v>
      </c>
    </row>
    <row r="149" spans="1:40" s="131" customFormat="1" x14ac:dyDescent="0.2">
      <c r="A149" s="195" t="s">
        <v>213</v>
      </c>
      <c r="B149" s="222" t="s">
        <v>344</v>
      </c>
      <c r="C149" s="200" t="s">
        <v>388</v>
      </c>
      <c r="D149" s="201" t="s">
        <v>389</v>
      </c>
      <c r="E149" s="201">
        <v>1</v>
      </c>
      <c r="F149" s="202">
        <v>0.04</v>
      </c>
      <c r="G149" s="202">
        <f t="shared" si="8"/>
        <v>0.04</v>
      </c>
      <c r="H149" s="203" t="s">
        <v>126</v>
      </c>
      <c r="I149" s="198" t="s">
        <v>840</v>
      </c>
      <c r="J149" s="205"/>
      <c r="AN149" s="131">
        <v>4</v>
      </c>
    </row>
    <row r="150" spans="1:40" s="131" customFormat="1" x14ac:dyDescent="0.2">
      <c r="A150" s="195" t="s">
        <v>213</v>
      </c>
      <c r="B150" s="222" t="s">
        <v>345</v>
      </c>
      <c r="C150" s="200" t="s">
        <v>491</v>
      </c>
      <c r="D150" s="201" t="s">
        <v>492</v>
      </c>
      <c r="E150" s="201">
        <v>1</v>
      </c>
      <c r="F150" s="202">
        <v>0.13</v>
      </c>
      <c r="G150" s="202">
        <f t="shared" si="8"/>
        <v>0.13</v>
      </c>
      <c r="H150" s="203" t="s">
        <v>126</v>
      </c>
      <c r="I150" s="198" t="s">
        <v>840</v>
      </c>
      <c r="J150" s="205"/>
      <c r="AN150" s="131">
        <v>4</v>
      </c>
    </row>
    <row r="151" spans="1:40" s="131" customFormat="1" x14ac:dyDescent="0.2">
      <c r="A151" s="195" t="s">
        <v>213</v>
      </c>
      <c r="B151" s="222" t="s">
        <v>346</v>
      </c>
      <c r="C151" s="200" t="s">
        <v>493</v>
      </c>
      <c r="D151" s="201" t="s">
        <v>494</v>
      </c>
      <c r="E151" s="201">
        <v>1</v>
      </c>
      <c r="F151" s="202">
        <v>0.46</v>
      </c>
      <c r="G151" s="202">
        <f t="shared" si="8"/>
        <v>0.46</v>
      </c>
      <c r="H151" s="203" t="s">
        <v>126</v>
      </c>
      <c r="I151" s="198" t="s">
        <v>840</v>
      </c>
      <c r="J151" s="205"/>
      <c r="AN151" s="131">
        <v>4</v>
      </c>
    </row>
    <row r="152" spans="1:40" s="131" customFormat="1" x14ac:dyDescent="0.2">
      <c r="A152" s="195" t="s">
        <v>213</v>
      </c>
      <c r="B152" s="222" t="s">
        <v>347</v>
      </c>
      <c r="C152" s="200" t="s">
        <v>500</v>
      </c>
      <c r="D152" s="201" t="s">
        <v>501</v>
      </c>
      <c r="E152" s="201">
        <v>2</v>
      </c>
      <c r="F152" s="202">
        <v>7.0000000000000007E-2</v>
      </c>
      <c r="G152" s="202">
        <f t="shared" si="8"/>
        <v>0.14000000000000001</v>
      </c>
      <c r="H152" s="203" t="s">
        <v>126</v>
      </c>
      <c r="I152" s="198" t="s">
        <v>840</v>
      </c>
      <c r="J152" s="205"/>
      <c r="AN152" s="131">
        <v>4</v>
      </c>
    </row>
    <row r="153" spans="1:40" s="131" customFormat="1" x14ac:dyDescent="0.2">
      <c r="A153" s="195" t="s">
        <v>213</v>
      </c>
      <c r="B153" s="222" t="s">
        <v>348</v>
      </c>
      <c r="C153" s="200" t="s">
        <v>503</v>
      </c>
      <c r="D153" s="201" t="s">
        <v>504</v>
      </c>
      <c r="E153" s="201">
        <v>2</v>
      </c>
      <c r="F153" s="202">
        <v>0.03</v>
      </c>
      <c r="G153" s="202">
        <f t="shared" si="8"/>
        <v>0.06</v>
      </c>
      <c r="H153" s="203" t="s">
        <v>126</v>
      </c>
      <c r="I153" s="198" t="s">
        <v>840</v>
      </c>
      <c r="J153" s="205"/>
      <c r="AN153" s="131">
        <v>4</v>
      </c>
    </row>
    <row r="154" spans="1:40" s="131" customFormat="1" x14ac:dyDescent="0.2">
      <c r="A154" s="195" t="s">
        <v>213</v>
      </c>
      <c r="B154" s="222" t="s">
        <v>499</v>
      </c>
      <c r="C154" s="200" t="s">
        <v>506</v>
      </c>
      <c r="D154" s="201" t="s">
        <v>507</v>
      </c>
      <c r="E154" s="201">
        <v>1</v>
      </c>
      <c r="F154" s="202">
        <v>0.39</v>
      </c>
      <c r="G154" s="202">
        <f t="shared" si="8"/>
        <v>0.39</v>
      </c>
      <c r="H154" s="203" t="s">
        <v>126</v>
      </c>
      <c r="I154" s="198" t="s">
        <v>840</v>
      </c>
      <c r="J154" s="205"/>
      <c r="AN154" s="131">
        <v>4</v>
      </c>
    </row>
    <row r="155" spans="1:40" s="131" customFormat="1" x14ac:dyDescent="0.2">
      <c r="A155" s="195" t="s">
        <v>213</v>
      </c>
      <c r="B155" s="222" t="s">
        <v>502</v>
      </c>
      <c r="C155" s="200" t="s">
        <v>509</v>
      </c>
      <c r="D155" s="201" t="s">
        <v>510</v>
      </c>
      <c r="E155" s="201">
        <v>2</v>
      </c>
      <c r="F155" s="202">
        <v>0.02</v>
      </c>
      <c r="G155" s="202">
        <f t="shared" si="8"/>
        <v>0.04</v>
      </c>
      <c r="H155" s="203" t="s">
        <v>126</v>
      </c>
      <c r="I155" s="198" t="s">
        <v>840</v>
      </c>
      <c r="J155" s="205"/>
      <c r="AN155" s="131">
        <v>4</v>
      </c>
    </row>
    <row r="156" spans="1:40" s="131" customFormat="1" x14ac:dyDescent="0.2">
      <c r="A156" s="195" t="s">
        <v>213</v>
      </c>
      <c r="B156" s="222" t="s">
        <v>505</v>
      </c>
      <c r="C156" s="200" t="s">
        <v>838</v>
      </c>
      <c r="D156" s="201" t="s">
        <v>839</v>
      </c>
      <c r="E156" s="201">
        <v>2</v>
      </c>
      <c r="F156" s="202">
        <v>0.24</v>
      </c>
      <c r="G156" s="202">
        <f t="shared" si="8"/>
        <v>0.48</v>
      </c>
      <c r="H156" s="203" t="s">
        <v>126</v>
      </c>
      <c r="I156" s="198" t="s">
        <v>840</v>
      </c>
      <c r="J156" s="205"/>
      <c r="AN156" s="131">
        <v>4</v>
      </c>
    </row>
    <row r="157" spans="1:40" s="131" customFormat="1" x14ac:dyDescent="0.2">
      <c r="A157" s="195" t="s">
        <v>162</v>
      </c>
      <c r="B157" s="222" t="s">
        <v>508</v>
      </c>
      <c r="C157" s="153" t="s">
        <v>284</v>
      </c>
      <c r="D157" s="154" t="s">
        <v>285</v>
      </c>
      <c r="E157" s="154">
        <v>12</v>
      </c>
      <c r="F157" s="155">
        <v>0</v>
      </c>
      <c r="G157" s="155">
        <f t="shared" si="8"/>
        <v>0</v>
      </c>
      <c r="H157" s="156"/>
      <c r="I157" s="198" t="s">
        <v>840</v>
      </c>
      <c r="J157" s="158"/>
      <c r="AN157" s="131">
        <v>4</v>
      </c>
    </row>
    <row r="158" spans="1:40" s="131" customFormat="1" x14ac:dyDescent="0.2">
      <c r="A158" s="195" t="s">
        <v>237</v>
      </c>
      <c r="B158" s="222" t="s">
        <v>188</v>
      </c>
      <c r="C158" s="196" t="s">
        <v>841</v>
      </c>
      <c r="D158" s="197" t="s">
        <v>474</v>
      </c>
      <c r="E158" s="197">
        <v>1</v>
      </c>
      <c r="F158" s="197"/>
      <c r="G158" s="197"/>
      <c r="H158" s="195"/>
      <c r="I158" s="198" t="s">
        <v>842</v>
      </c>
      <c r="J158" s="199"/>
      <c r="AN158" s="131">
        <v>3</v>
      </c>
    </row>
    <row r="159" spans="1:40" s="131" customFormat="1" x14ac:dyDescent="0.2">
      <c r="A159" s="195" t="s">
        <v>213</v>
      </c>
      <c r="B159" s="222" t="s">
        <v>334</v>
      </c>
      <c r="C159" s="200" t="s">
        <v>475</v>
      </c>
      <c r="D159" s="201" t="s">
        <v>282</v>
      </c>
      <c r="E159" s="201">
        <v>1</v>
      </c>
      <c r="F159" s="202">
        <v>0.81</v>
      </c>
      <c r="G159" s="202">
        <f t="shared" ref="G159:G176" si="9">F159*E159</f>
        <v>0.81</v>
      </c>
      <c r="H159" s="203" t="s">
        <v>126</v>
      </c>
      <c r="I159" s="198" t="s">
        <v>842</v>
      </c>
      <c r="J159" s="205"/>
      <c r="AN159" s="131">
        <v>4</v>
      </c>
    </row>
    <row r="160" spans="1:40" s="131" customFormat="1" x14ac:dyDescent="0.2">
      <c r="A160" s="195" t="s">
        <v>213</v>
      </c>
      <c r="B160" s="222" t="s">
        <v>335</v>
      </c>
      <c r="C160" s="200" t="s">
        <v>387</v>
      </c>
      <c r="D160" s="201" t="s">
        <v>283</v>
      </c>
      <c r="E160" s="201">
        <v>2</v>
      </c>
      <c r="F160" s="202">
        <v>0.05</v>
      </c>
      <c r="G160" s="202">
        <f t="shared" si="9"/>
        <v>0.1</v>
      </c>
      <c r="H160" s="203" t="s">
        <v>126</v>
      </c>
      <c r="I160" s="198" t="s">
        <v>842</v>
      </c>
      <c r="J160" s="205"/>
      <c r="AN160" s="131">
        <v>4</v>
      </c>
    </row>
    <row r="161" spans="1:40" s="131" customFormat="1" x14ac:dyDescent="0.2">
      <c r="A161" s="195" t="s">
        <v>213</v>
      </c>
      <c r="B161" s="222" t="s">
        <v>336</v>
      </c>
      <c r="C161" s="200" t="s">
        <v>476</v>
      </c>
      <c r="D161" s="201" t="s">
        <v>477</v>
      </c>
      <c r="E161" s="201">
        <v>2</v>
      </c>
      <c r="F161" s="202">
        <v>0.1</v>
      </c>
      <c r="G161" s="202">
        <f t="shared" si="9"/>
        <v>0.2</v>
      </c>
      <c r="H161" s="203" t="s">
        <v>126</v>
      </c>
      <c r="I161" s="198" t="s">
        <v>842</v>
      </c>
      <c r="J161" s="205"/>
      <c r="AN161" s="131">
        <v>4</v>
      </c>
    </row>
    <row r="162" spans="1:40" s="131" customFormat="1" x14ac:dyDescent="0.2">
      <c r="A162" s="195" t="s">
        <v>213</v>
      </c>
      <c r="B162" s="222" t="s">
        <v>337</v>
      </c>
      <c r="C162" s="200" t="s">
        <v>478</v>
      </c>
      <c r="D162" s="201" t="s">
        <v>479</v>
      </c>
      <c r="E162" s="201">
        <v>1</v>
      </c>
      <c r="F162" s="202">
        <v>0.67</v>
      </c>
      <c r="G162" s="202">
        <f t="shared" si="9"/>
        <v>0.67</v>
      </c>
      <c r="H162" s="203" t="s">
        <v>126</v>
      </c>
      <c r="I162" s="198" t="s">
        <v>842</v>
      </c>
      <c r="J162" s="205"/>
      <c r="AN162" s="131">
        <v>4</v>
      </c>
    </row>
    <row r="163" spans="1:40" s="131" customFormat="1" x14ac:dyDescent="0.2">
      <c r="A163" s="195" t="s">
        <v>213</v>
      </c>
      <c r="B163" s="222" t="s">
        <v>338</v>
      </c>
      <c r="C163" s="200" t="s">
        <v>480</v>
      </c>
      <c r="D163" s="201" t="s">
        <v>481</v>
      </c>
      <c r="E163" s="201">
        <v>2</v>
      </c>
      <c r="F163" s="202">
        <v>0.02</v>
      </c>
      <c r="G163" s="202">
        <f t="shared" si="9"/>
        <v>0.04</v>
      </c>
      <c r="H163" s="203" t="s">
        <v>126</v>
      </c>
      <c r="I163" s="198" t="s">
        <v>842</v>
      </c>
      <c r="J163" s="205"/>
      <c r="AN163" s="131">
        <v>4</v>
      </c>
    </row>
    <row r="164" spans="1:40" s="131" customFormat="1" x14ac:dyDescent="0.2">
      <c r="A164" s="195" t="s">
        <v>213</v>
      </c>
      <c r="B164" s="222" t="s">
        <v>339</v>
      </c>
      <c r="C164" s="200" t="s">
        <v>482</v>
      </c>
      <c r="D164" s="201" t="s">
        <v>483</v>
      </c>
      <c r="E164" s="201">
        <v>1</v>
      </c>
      <c r="F164" s="202">
        <v>3.07</v>
      </c>
      <c r="G164" s="202">
        <f t="shared" si="9"/>
        <v>3.07</v>
      </c>
      <c r="H164" s="203" t="s">
        <v>126</v>
      </c>
      <c r="I164" s="198" t="s">
        <v>842</v>
      </c>
      <c r="J164" s="205"/>
      <c r="AN164" s="131">
        <v>4</v>
      </c>
    </row>
    <row r="165" spans="1:40" s="131" customFormat="1" x14ac:dyDescent="0.2">
      <c r="A165" s="195" t="s">
        <v>213</v>
      </c>
      <c r="B165" s="222" t="s">
        <v>340</v>
      </c>
      <c r="C165" s="200" t="s">
        <v>484</v>
      </c>
      <c r="D165" s="201" t="s">
        <v>483</v>
      </c>
      <c r="E165" s="201">
        <v>1</v>
      </c>
      <c r="F165" s="202">
        <v>3.07</v>
      </c>
      <c r="G165" s="202">
        <f t="shared" si="9"/>
        <v>3.07</v>
      </c>
      <c r="H165" s="203" t="s">
        <v>126</v>
      </c>
      <c r="I165" s="198" t="s">
        <v>842</v>
      </c>
      <c r="J165" s="205"/>
      <c r="AN165" s="131">
        <v>4</v>
      </c>
    </row>
    <row r="166" spans="1:40" s="131" customFormat="1" x14ac:dyDescent="0.2">
      <c r="A166" s="195" t="s">
        <v>213</v>
      </c>
      <c r="B166" s="222" t="s">
        <v>341</v>
      </c>
      <c r="C166" s="200" t="s">
        <v>485</v>
      </c>
      <c r="D166" s="201" t="s">
        <v>486</v>
      </c>
      <c r="E166" s="201">
        <v>1</v>
      </c>
      <c r="F166" s="202">
        <v>0.09</v>
      </c>
      <c r="G166" s="202">
        <f t="shared" si="9"/>
        <v>0.09</v>
      </c>
      <c r="H166" s="203" t="s">
        <v>126</v>
      </c>
      <c r="I166" s="198" t="s">
        <v>842</v>
      </c>
      <c r="J166" s="205"/>
      <c r="AN166" s="131">
        <v>4</v>
      </c>
    </row>
    <row r="167" spans="1:40" s="131" customFormat="1" x14ac:dyDescent="0.2">
      <c r="A167" s="195" t="s">
        <v>213</v>
      </c>
      <c r="B167" s="222" t="s">
        <v>342</v>
      </c>
      <c r="C167" s="200" t="s">
        <v>489</v>
      </c>
      <c r="D167" s="201" t="s">
        <v>490</v>
      </c>
      <c r="E167" s="201">
        <v>4</v>
      </c>
      <c r="F167" s="202">
        <v>0.01</v>
      </c>
      <c r="G167" s="202">
        <f t="shared" si="9"/>
        <v>0.04</v>
      </c>
      <c r="H167" s="203" t="s">
        <v>126</v>
      </c>
      <c r="I167" s="198" t="s">
        <v>842</v>
      </c>
      <c r="J167" s="205"/>
      <c r="AN167" s="131">
        <v>4</v>
      </c>
    </row>
    <row r="168" spans="1:40" s="131" customFormat="1" x14ac:dyDescent="0.2">
      <c r="A168" s="195" t="s">
        <v>213</v>
      </c>
      <c r="B168" s="222" t="s">
        <v>343</v>
      </c>
      <c r="C168" s="200" t="s">
        <v>388</v>
      </c>
      <c r="D168" s="201" t="s">
        <v>389</v>
      </c>
      <c r="E168" s="201">
        <v>1</v>
      </c>
      <c r="F168" s="202">
        <v>0.04</v>
      </c>
      <c r="G168" s="202">
        <f t="shared" si="9"/>
        <v>0.04</v>
      </c>
      <c r="H168" s="203" t="s">
        <v>126</v>
      </c>
      <c r="I168" s="198" t="s">
        <v>842</v>
      </c>
      <c r="J168" s="205"/>
      <c r="AN168" s="131">
        <v>4</v>
      </c>
    </row>
    <row r="169" spans="1:40" s="131" customFormat="1" x14ac:dyDescent="0.2">
      <c r="A169" s="195" t="s">
        <v>213</v>
      </c>
      <c r="B169" s="222" t="s">
        <v>344</v>
      </c>
      <c r="C169" s="200" t="s">
        <v>491</v>
      </c>
      <c r="D169" s="201" t="s">
        <v>492</v>
      </c>
      <c r="E169" s="201">
        <v>1</v>
      </c>
      <c r="F169" s="202">
        <v>0.13</v>
      </c>
      <c r="G169" s="202">
        <f t="shared" si="9"/>
        <v>0.13</v>
      </c>
      <c r="H169" s="203" t="s">
        <v>126</v>
      </c>
      <c r="I169" s="198" t="s">
        <v>842</v>
      </c>
      <c r="J169" s="205"/>
      <c r="AN169" s="131">
        <v>4</v>
      </c>
    </row>
    <row r="170" spans="1:40" s="131" customFormat="1" x14ac:dyDescent="0.2">
      <c r="A170" s="195" t="s">
        <v>213</v>
      </c>
      <c r="B170" s="222" t="s">
        <v>345</v>
      </c>
      <c r="C170" s="200" t="s">
        <v>493</v>
      </c>
      <c r="D170" s="201" t="s">
        <v>494</v>
      </c>
      <c r="E170" s="201">
        <v>1</v>
      </c>
      <c r="F170" s="202">
        <v>0.46</v>
      </c>
      <c r="G170" s="202">
        <f t="shared" si="9"/>
        <v>0.46</v>
      </c>
      <c r="H170" s="203" t="s">
        <v>126</v>
      </c>
      <c r="I170" s="198" t="s">
        <v>842</v>
      </c>
      <c r="J170" s="205"/>
      <c r="AN170" s="131">
        <v>4</v>
      </c>
    </row>
    <row r="171" spans="1:40" s="131" customFormat="1" x14ac:dyDescent="0.2">
      <c r="A171" s="195" t="s">
        <v>213</v>
      </c>
      <c r="B171" s="222" t="s">
        <v>346</v>
      </c>
      <c r="C171" s="200" t="s">
        <v>495</v>
      </c>
      <c r="D171" s="201" t="s">
        <v>496</v>
      </c>
      <c r="E171" s="201">
        <v>2</v>
      </c>
      <c r="F171" s="202">
        <v>0.49</v>
      </c>
      <c r="G171" s="202">
        <f t="shared" si="9"/>
        <v>0.98</v>
      </c>
      <c r="H171" s="203" t="s">
        <v>126</v>
      </c>
      <c r="I171" s="198" t="s">
        <v>842</v>
      </c>
      <c r="J171" s="205"/>
      <c r="AN171" s="131">
        <v>4</v>
      </c>
    </row>
    <row r="172" spans="1:40" s="131" customFormat="1" x14ac:dyDescent="0.2">
      <c r="A172" s="195" t="s">
        <v>213</v>
      </c>
      <c r="B172" s="222" t="s">
        <v>347</v>
      </c>
      <c r="C172" s="200" t="s">
        <v>497</v>
      </c>
      <c r="D172" s="201" t="s">
        <v>498</v>
      </c>
      <c r="E172" s="201">
        <v>2</v>
      </c>
      <c r="F172" s="202">
        <v>0.45</v>
      </c>
      <c r="G172" s="202">
        <f t="shared" si="9"/>
        <v>0.9</v>
      </c>
      <c r="H172" s="203" t="s">
        <v>126</v>
      </c>
      <c r="I172" s="198" t="s">
        <v>842</v>
      </c>
      <c r="J172" s="205"/>
      <c r="AN172" s="131">
        <v>4</v>
      </c>
    </row>
    <row r="173" spans="1:40" s="131" customFormat="1" x14ac:dyDescent="0.2">
      <c r="A173" s="195" t="s">
        <v>213</v>
      </c>
      <c r="B173" s="222" t="s">
        <v>348</v>
      </c>
      <c r="C173" s="200" t="s">
        <v>500</v>
      </c>
      <c r="D173" s="201" t="s">
        <v>501</v>
      </c>
      <c r="E173" s="201">
        <v>2</v>
      </c>
      <c r="F173" s="202">
        <v>7.0000000000000007E-2</v>
      </c>
      <c r="G173" s="202">
        <f t="shared" si="9"/>
        <v>0.14000000000000001</v>
      </c>
      <c r="H173" s="203" t="s">
        <v>126</v>
      </c>
      <c r="I173" s="198" t="s">
        <v>842</v>
      </c>
      <c r="J173" s="205"/>
      <c r="AN173" s="131">
        <v>4</v>
      </c>
    </row>
    <row r="174" spans="1:40" s="131" customFormat="1" x14ac:dyDescent="0.2">
      <c r="A174" s="195" t="s">
        <v>213</v>
      </c>
      <c r="B174" s="222" t="s">
        <v>499</v>
      </c>
      <c r="C174" s="200" t="s">
        <v>506</v>
      </c>
      <c r="D174" s="201" t="s">
        <v>507</v>
      </c>
      <c r="E174" s="201">
        <v>1</v>
      </c>
      <c r="F174" s="202">
        <v>0.39</v>
      </c>
      <c r="G174" s="202">
        <f t="shared" si="9"/>
        <v>0.39</v>
      </c>
      <c r="H174" s="203" t="s">
        <v>126</v>
      </c>
      <c r="I174" s="198" t="s">
        <v>842</v>
      </c>
      <c r="J174" s="205"/>
      <c r="AN174" s="131">
        <v>4</v>
      </c>
    </row>
    <row r="175" spans="1:40" s="131" customFormat="1" x14ac:dyDescent="0.2">
      <c r="A175" s="195" t="s">
        <v>213</v>
      </c>
      <c r="B175" s="222" t="s">
        <v>502</v>
      </c>
      <c r="C175" s="200" t="s">
        <v>509</v>
      </c>
      <c r="D175" s="201" t="s">
        <v>510</v>
      </c>
      <c r="E175" s="201">
        <v>2</v>
      </c>
      <c r="F175" s="202">
        <v>0.02</v>
      </c>
      <c r="G175" s="202">
        <f t="shared" si="9"/>
        <v>0.04</v>
      </c>
      <c r="H175" s="203" t="s">
        <v>126</v>
      </c>
      <c r="I175" s="198" t="s">
        <v>842</v>
      </c>
      <c r="J175" s="205"/>
      <c r="AN175" s="131">
        <v>4</v>
      </c>
    </row>
    <row r="176" spans="1:40" s="131" customFormat="1" x14ac:dyDescent="0.2">
      <c r="A176" s="195" t="s">
        <v>162</v>
      </c>
      <c r="B176" s="222" t="s">
        <v>505</v>
      </c>
      <c r="C176" s="153" t="s">
        <v>284</v>
      </c>
      <c r="D176" s="154" t="s">
        <v>285</v>
      </c>
      <c r="E176" s="154">
        <v>12</v>
      </c>
      <c r="F176" s="155">
        <v>0</v>
      </c>
      <c r="G176" s="155">
        <f t="shared" si="9"/>
        <v>0</v>
      </c>
      <c r="H176" s="156"/>
      <c r="I176" s="198" t="s">
        <v>842</v>
      </c>
      <c r="J176" s="158"/>
      <c r="AN176" s="131">
        <v>4</v>
      </c>
    </row>
    <row r="177" spans="1:40" s="131" customFormat="1" x14ac:dyDescent="0.2">
      <c r="A177" s="195" t="s">
        <v>237</v>
      </c>
      <c r="B177" s="222" t="s">
        <v>188</v>
      </c>
      <c r="C177" s="196" t="s">
        <v>843</v>
      </c>
      <c r="D177" s="197" t="s">
        <v>474</v>
      </c>
      <c r="E177" s="197">
        <v>1</v>
      </c>
      <c r="F177" s="197"/>
      <c r="G177" s="197"/>
      <c r="H177" s="195"/>
      <c r="I177" s="198" t="s">
        <v>989</v>
      </c>
      <c r="J177" s="199"/>
      <c r="AN177" s="131">
        <v>3</v>
      </c>
    </row>
    <row r="178" spans="1:40" s="131" customFormat="1" x14ac:dyDescent="0.2">
      <c r="A178" s="195" t="s">
        <v>213</v>
      </c>
      <c r="B178" s="222" t="s">
        <v>334</v>
      </c>
      <c r="C178" s="200" t="s">
        <v>475</v>
      </c>
      <c r="D178" s="201" t="s">
        <v>282</v>
      </c>
      <c r="E178" s="201">
        <v>1</v>
      </c>
      <c r="F178" s="202">
        <v>0.81</v>
      </c>
      <c r="G178" s="202">
        <f t="shared" ref="G178:G194" si="10">F178*E178</f>
        <v>0.81</v>
      </c>
      <c r="H178" s="203" t="s">
        <v>126</v>
      </c>
      <c r="I178" s="198" t="s">
        <v>989</v>
      </c>
      <c r="J178" s="205"/>
      <c r="AN178" s="131">
        <v>4</v>
      </c>
    </row>
    <row r="179" spans="1:40" s="131" customFormat="1" x14ac:dyDescent="0.2">
      <c r="A179" s="195" t="s">
        <v>213</v>
      </c>
      <c r="B179" s="222" t="s">
        <v>335</v>
      </c>
      <c r="C179" s="200" t="s">
        <v>387</v>
      </c>
      <c r="D179" s="201" t="s">
        <v>283</v>
      </c>
      <c r="E179" s="201">
        <v>2</v>
      </c>
      <c r="F179" s="202">
        <v>0.05</v>
      </c>
      <c r="G179" s="202">
        <f t="shared" si="10"/>
        <v>0.1</v>
      </c>
      <c r="H179" s="203" t="s">
        <v>126</v>
      </c>
      <c r="I179" s="198" t="s">
        <v>989</v>
      </c>
      <c r="J179" s="205"/>
      <c r="AN179" s="131">
        <v>4</v>
      </c>
    </row>
    <row r="180" spans="1:40" s="131" customFormat="1" x14ac:dyDescent="0.2">
      <c r="A180" s="195" t="s">
        <v>213</v>
      </c>
      <c r="B180" s="222" t="s">
        <v>336</v>
      </c>
      <c r="C180" s="200" t="s">
        <v>476</v>
      </c>
      <c r="D180" s="201" t="s">
        <v>477</v>
      </c>
      <c r="E180" s="201">
        <v>2</v>
      </c>
      <c r="F180" s="202">
        <v>0.1</v>
      </c>
      <c r="G180" s="202">
        <f t="shared" si="10"/>
        <v>0.2</v>
      </c>
      <c r="H180" s="203" t="s">
        <v>126</v>
      </c>
      <c r="I180" s="198" t="s">
        <v>989</v>
      </c>
      <c r="J180" s="205"/>
      <c r="AN180" s="131">
        <v>4</v>
      </c>
    </row>
    <row r="181" spans="1:40" s="131" customFormat="1" x14ac:dyDescent="0.2">
      <c r="A181" s="195" t="s">
        <v>213</v>
      </c>
      <c r="B181" s="222" t="s">
        <v>337</v>
      </c>
      <c r="C181" s="200" t="s">
        <v>478</v>
      </c>
      <c r="D181" s="201" t="s">
        <v>479</v>
      </c>
      <c r="E181" s="201">
        <v>1</v>
      </c>
      <c r="F181" s="202">
        <v>0.67</v>
      </c>
      <c r="G181" s="202">
        <f t="shared" si="10"/>
        <v>0.67</v>
      </c>
      <c r="H181" s="203" t="s">
        <v>126</v>
      </c>
      <c r="I181" s="198" t="s">
        <v>989</v>
      </c>
      <c r="J181" s="205"/>
      <c r="AN181" s="131">
        <v>4</v>
      </c>
    </row>
    <row r="182" spans="1:40" s="131" customFormat="1" x14ac:dyDescent="0.2">
      <c r="A182" s="195" t="s">
        <v>213</v>
      </c>
      <c r="B182" s="222" t="s">
        <v>338</v>
      </c>
      <c r="C182" s="200" t="s">
        <v>480</v>
      </c>
      <c r="D182" s="201" t="s">
        <v>481</v>
      </c>
      <c r="E182" s="201">
        <v>2</v>
      </c>
      <c r="F182" s="202">
        <v>0.02</v>
      </c>
      <c r="G182" s="202">
        <f t="shared" si="10"/>
        <v>0.04</v>
      </c>
      <c r="H182" s="203" t="s">
        <v>126</v>
      </c>
      <c r="I182" s="198" t="s">
        <v>989</v>
      </c>
      <c r="J182" s="205"/>
      <c r="AN182" s="131">
        <v>4</v>
      </c>
    </row>
    <row r="183" spans="1:40" s="131" customFormat="1" x14ac:dyDescent="0.2">
      <c r="A183" s="195" t="s">
        <v>213</v>
      </c>
      <c r="B183" s="222" t="s">
        <v>339</v>
      </c>
      <c r="C183" s="200" t="s">
        <v>482</v>
      </c>
      <c r="D183" s="201" t="s">
        <v>483</v>
      </c>
      <c r="E183" s="201">
        <v>1</v>
      </c>
      <c r="F183" s="202">
        <v>3.07</v>
      </c>
      <c r="G183" s="202">
        <f t="shared" si="10"/>
        <v>3.07</v>
      </c>
      <c r="H183" s="203" t="s">
        <v>126</v>
      </c>
      <c r="I183" s="198" t="s">
        <v>989</v>
      </c>
      <c r="J183" s="205"/>
      <c r="AN183" s="131">
        <v>4</v>
      </c>
    </row>
    <row r="184" spans="1:40" s="131" customFormat="1" x14ac:dyDescent="0.2">
      <c r="A184" s="195" t="s">
        <v>213</v>
      </c>
      <c r="B184" s="222" t="s">
        <v>340</v>
      </c>
      <c r="C184" s="200" t="s">
        <v>484</v>
      </c>
      <c r="D184" s="201" t="s">
        <v>483</v>
      </c>
      <c r="E184" s="201">
        <v>1</v>
      </c>
      <c r="F184" s="202">
        <v>3.07</v>
      </c>
      <c r="G184" s="202">
        <f t="shared" si="10"/>
        <v>3.07</v>
      </c>
      <c r="H184" s="203" t="s">
        <v>126</v>
      </c>
      <c r="I184" s="198" t="s">
        <v>989</v>
      </c>
      <c r="J184" s="205"/>
      <c r="AN184" s="131">
        <v>4</v>
      </c>
    </row>
    <row r="185" spans="1:40" s="131" customFormat="1" x14ac:dyDescent="0.2">
      <c r="A185" s="195" t="s">
        <v>213</v>
      </c>
      <c r="B185" s="222" t="s">
        <v>341</v>
      </c>
      <c r="C185" s="200" t="s">
        <v>485</v>
      </c>
      <c r="D185" s="201" t="s">
        <v>486</v>
      </c>
      <c r="E185" s="201">
        <v>1</v>
      </c>
      <c r="F185" s="202">
        <v>0.09</v>
      </c>
      <c r="G185" s="202">
        <f t="shared" si="10"/>
        <v>0.09</v>
      </c>
      <c r="H185" s="203" t="s">
        <v>126</v>
      </c>
      <c r="I185" s="198" t="s">
        <v>989</v>
      </c>
      <c r="J185" s="205"/>
      <c r="AN185" s="131">
        <v>4</v>
      </c>
    </row>
    <row r="186" spans="1:40" s="131" customFormat="1" x14ac:dyDescent="0.2">
      <c r="A186" s="195" t="s">
        <v>213</v>
      </c>
      <c r="B186" s="222" t="s">
        <v>342</v>
      </c>
      <c r="C186" s="200" t="s">
        <v>489</v>
      </c>
      <c r="D186" s="201" t="s">
        <v>490</v>
      </c>
      <c r="E186" s="201">
        <v>4</v>
      </c>
      <c r="F186" s="202">
        <v>0.01</v>
      </c>
      <c r="G186" s="202">
        <f t="shared" si="10"/>
        <v>0.04</v>
      </c>
      <c r="H186" s="203" t="s">
        <v>126</v>
      </c>
      <c r="I186" s="198" t="s">
        <v>989</v>
      </c>
      <c r="J186" s="205"/>
      <c r="AN186" s="131">
        <v>4</v>
      </c>
    </row>
    <row r="187" spans="1:40" s="131" customFormat="1" x14ac:dyDescent="0.2">
      <c r="A187" s="195" t="s">
        <v>213</v>
      </c>
      <c r="B187" s="222" t="s">
        <v>343</v>
      </c>
      <c r="C187" s="200" t="s">
        <v>388</v>
      </c>
      <c r="D187" s="201" t="s">
        <v>389</v>
      </c>
      <c r="E187" s="201">
        <v>1</v>
      </c>
      <c r="F187" s="202">
        <v>0.04</v>
      </c>
      <c r="G187" s="202">
        <f t="shared" si="10"/>
        <v>0.04</v>
      </c>
      <c r="H187" s="203" t="s">
        <v>126</v>
      </c>
      <c r="I187" s="198" t="s">
        <v>989</v>
      </c>
      <c r="J187" s="205"/>
      <c r="AN187" s="131">
        <v>4</v>
      </c>
    </row>
    <row r="188" spans="1:40" s="131" customFormat="1" x14ac:dyDescent="0.2">
      <c r="A188" s="195" t="s">
        <v>213</v>
      </c>
      <c r="B188" s="222" t="s">
        <v>344</v>
      </c>
      <c r="C188" s="200" t="s">
        <v>491</v>
      </c>
      <c r="D188" s="201" t="s">
        <v>492</v>
      </c>
      <c r="E188" s="201">
        <v>1</v>
      </c>
      <c r="F188" s="202">
        <v>0.13</v>
      </c>
      <c r="G188" s="202">
        <f t="shared" si="10"/>
        <v>0.13</v>
      </c>
      <c r="H188" s="203" t="s">
        <v>126</v>
      </c>
      <c r="I188" s="198" t="s">
        <v>989</v>
      </c>
      <c r="J188" s="205"/>
      <c r="AN188" s="131">
        <v>4</v>
      </c>
    </row>
    <row r="189" spans="1:40" s="131" customFormat="1" x14ac:dyDescent="0.2">
      <c r="A189" s="195" t="s">
        <v>213</v>
      </c>
      <c r="B189" s="222" t="s">
        <v>345</v>
      </c>
      <c r="C189" s="200" t="s">
        <v>493</v>
      </c>
      <c r="D189" s="201" t="s">
        <v>494</v>
      </c>
      <c r="E189" s="201">
        <v>1</v>
      </c>
      <c r="F189" s="202">
        <v>0.46</v>
      </c>
      <c r="G189" s="202">
        <f t="shared" si="10"/>
        <v>0.46</v>
      </c>
      <c r="H189" s="203" t="s">
        <v>126</v>
      </c>
      <c r="I189" s="198" t="s">
        <v>989</v>
      </c>
      <c r="J189" s="205"/>
      <c r="AN189" s="131">
        <v>4</v>
      </c>
    </row>
    <row r="190" spans="1:40" s="131" customFormat="1" x14ac:dyDescent="0.2">
      <c r="A190" s="195" t="s">
        <v>213</v>
      </c>
      <c r="B190" s="222" t="s">
        <v>346</v>
      </c>
      <c r="C190" s="200" t="s">
        <v>500</v>
      </c>
      <c r="D190" s="201" t="s">
        <v>501</v>
      </c>
      <c r="E190" s="201">
        <v>2</v>
      </c>
      <c r="F190" s="202">
        <v>7.0000000000000007E-2</v>
      </c>
      <c r="G190" s="202">
        <f t="shared" si="10"/>
        <v>0.14000000000000001</v>
      </c>
      <c r="H190" s="203" t="s">
        <v>126</v>
      </c>
      <c r="I190" s="198" t="s">
        <v>989</v>
      </c>
      <c r="J190" s="205"/>
      <c r="AN190" s="131">
        <v>4</v>
      </c>
    </row>
    <row r="191" spans="1:40" s="131" customFormat="1" x14ac:dyDescent="0.2">
      <c r="A191" s="195" t="s">
        <v>213</v>
      </c>
      <c r="B191" s="222" t="s">
        <v>347</v>
      </c>
      <c r="C191" s="200" t="s">
        <v>506</v>
      </c>
      <c r="D191" s="201" t="s">
        <v>507</v>
      </c>
      <c r="E191" s="201">
        <v>1</v>
      </c>
      <c r="F191" s="202">
        <v>0.39</v>
      </c>
      <c r="G191" s="202">
        <f t="shared" si="10"/>
        <v>0.39</v>
      </c>
      <c r="H191" s="203" t="s">
        <v>126</v>
      </c>
      <c r="I191" s="198" t="s">
        <v>989</v>
      </c>
      <c r="J191" s="205"/>
      <c r="AN191" s="131">
        <v>4</v>
      </c>
    </row>
    <row r="192" spans="1:40" s="131" customFormat="1" x14ac:dyDescent="0.2">
      <c r="A192" s="195" t="s">
        <v>213</v>
      </c>
      <c r="B192" s="222" t="s">
        <v>348</v>
      </c>
      <c r="C192" s="200" t="s">
        <v>509</v>
      </c>
      <c r="D192" s="201" t="s">
        <v>510</v>
      </c>
      <c r="E192" s="201">
        <v>2</v>
      </c>
      <c r="F192" s="202">
        <v>0.02</v>
      </c>
      <c r="G192" s="202">
        <f t="shared" si="10"/>
        <v>0.04</v>
      </c>
      <c r="H192" s="203" t="s">
        <v>126</v>
      </c>
      <c r="I192" s="198" t="s">
        <v>989</v>
      </c>
      <c r="J192" s="205"/>
      <c r="AN192" s="131">
        <v>4</v>
      </c>
    </row>
    <row r="193" spans="1:40" s="131" customFormat="1" x14ac:dyDescent="0.2">
      <c r="A193" s="195" t="s">
        <v>213</v>
      </c>
      <c r="B193" s="222" t="s">
        <v>499</v>
      </c>
      <c r="C193" s="200" t="s">
        <v>838</v>
      </c>
      <c r="D193" s="201" t="s">
        <v>839</v>
      </c>
      <c r="E193" s="201">
        <v>2</v>
      </c>
      <c r="F193" s="202">
        <v>0.24</v>
      </c>
      <c r="G193" s="202">
        <f t="shared" si="10"/>
        <v>0.48</v>
      </c>
      <c r="H193" s="203" t="s">
        <v>126</v>
      </c>
      <c r="I193" s="198" t="s">
        <v>989</v>
      </c>
      <c r="J193" s="205"/>
      <c r="AN193" s="131">
        <v>4</v>
      </c>
    </row>
    <row r="194" spans="1:40" s="131" customFormat="1" x14ac:dyDescent="0.2">
      <c r="A194" s="195" t="s">
        <v>162</v>
      </c>
      <c r="B194" s="222" t="s">
        <v>502</v>
      </c>
      <c r="C194" s="153" t="s">
        <v>284</v>
      </c>
      <c r="D194" s="154" t="s">
        <v>285</v>
      </c>
      <c r="E194" s="154">
        <v>12</v>
      </c>
      <c r="F194" s="155">
        <v>0</v>
      </c>
      <c r="G194" s="155">
        <f t="shared" si="10"/>
        <v>0</v>
      </c>
      <c r="H194" s="156"/>
      <c r="I194" s="198" t="s">
        <v>989</v>
      </c>
      <c r="J194" s="158"/>
      <c r="AN194" s="131">
        <v>4</v>
      </c>
    </row>
    <row r="195" spans="1:40" s="131" customFormat="1" outlineLevel="1" x14ac:dyDescent="0.2">
      <c r="A195" s="195" t="s">
        <v>237</v>
      </c>
      <c r="B195" s="218" t="s">
        <v>189</v>
      </c>
      <c r="C195" s="196" t="s">
        <v>512</v>
      </c>
      <c r="D195" s="197" t="s">
        <v>513</v>
      </c>
      <c r="E195" s="197">
        <f>1*1</f>
        <v>1</v>
      </c>
      <c r="F195" s="207"/>
      <c r="G195" s="207" t="str">
        <f>""</f>
        <v/>
      </c>
      <c r="H195" s="195"/>
      <c r="I195" s="198"/>
      <c r="J195" s="199"/>
      <c r="AN195" s="131">
        <v>3</v>
      </c>
    </row>
    <row r="196" spans="1:40" s="131" customFormat="1" ht="25.5" outlineLevel="2" x14ac:dyDescent="0.2">
      <c r="A196" s="195" t="s">
        <v>162</v>
      </c>
      <c r="B196" s="218" t="s">
        <v>358</v>
      </c>
      <c r="C196" s="153" t="s">
        <v>514</v>
      </c>
      <c r="D196" s="154" t="s">
        <v>515</v>
      </c>
      <c r="E196" s="154">
        <f>1*1</f>
        <v>1</v>
      </c>
      <c r="F196" s="155">
        <v>5.05</v>
      </c>
      <c r="G196" s="155">
        <f>F196*E196</f>
        <v>5.05</v>
      </c>
      <c r="H196" s="156" t="s">
        <v>366</v>
      </c>
      <c r="I196" s="157"/>
      <c r="J196" s="158" t="s">
        <v>362</v>
      </c>
      <c r="AN196" s="131">
        <v>4</v>
      </c>
    </row>
    <row r="197" spans="1:40" s="131" customFormat="1" ht="25.5" outlineLevel="2" x14ac:dyDescent="0.2">
      <c r="A197" s="195" t="s">
        <v>162</v>
      </c>
      <c r="B197" s="218" t="s">
        <v>359</v>
      </c>
      <c r="C197" s="153"/>
      <c r="D197" s="154" t="s">
        <v>516</v>
      </c>
      <c r="E197" s="154">
        <f>1*1</f>
        <v>1</v>
      </c>
      <c r="F197" s="155">
        <v>0.5</v>
      </c>
      <c r="G197" s="155">
        <f>F197*E197</f>
        <v>0.5</v>
      </c>
      <c r="H197" s="156"/>
      <c r="I197" s="157"/>
      <c r="J197" s="158" t="s">
        <v>362</v>
      </c>
      <c r="AN197" s="131">
        <v>4</v>
      </c>
    </row>
    <row r="198" spans="1:40" s="131" customFormat="1" ht="25.5" outlineLevel="2" x14ac:dyDescent="0.2">
      <c r="A198" s="195" t="s">
        <v>162</v>
      </c>
      <c r="B198" s="218" t="s">
        <v>361</v>
      </c>
      <c r="C198" s="153" t="s">
        <v>517</v>
      </c>
      <c r="D198" s="154" t="s">
        <v>360</v>
      </c>
      <c r="E198" s="154">
        <f>9*1</f>
        <v>9</v>
      </c>
      <c r="F198" s="155">
        <v>0</v>
      </c>
      <c r="G198" s="155">
        <f>F198*E198</f>
        <v>0</v>
      </c>
      <c r="H198" s="156" t="s">
        <v>126</v>
      </c>
      <c r="I198" s="157"/>
      <c r="J198" s="158"/>
      <c r="AN198" s="131">
        <v>4</v>
      </c>
    </row>
    <row r="199" spans="1:40" s="131" customFormat="1" collapsed="1" x14ac:dyDescent="0.2">
      <c r="A199" s="195" t="s">
        <v>237</v>
      </c>
      <c r="B199" s="222" t="s">
        <v>189</v>
      </c>
      <c r="C199" s="196" t="s">
        <v>849</v>
      </c>
      <c r="D199" s="197" t="s">
        <v>513</v>
      </c>
      <c r="E199" s="197">
        <v>1</v>
      </c>
      <c r="F199" s="197"/>
      <c r="G199" s="197"/>
      <c r="H199" s="195"/>
      <c r="I199" s="198" t="s">
        <v>846</v>
      </c>
      <c r="J199" s="199"/>
      <c r="AN199" s="131">
        <v>3</v>
      </c>
    </row>
    <row r="200" spans="1:40" s="131" customFormat="1" ht="25.5" x14ac:dyDescent="0.2">
      <c r="A200" s="195" t="s">
        <v>213</v>
      </c>
      <c r="B200" s="222" t="s">
        <v>358</v>
      </c>
      <c r="C200" s="153" t="s">
        <v>850</v>
      </c>
      <c r="D200" s="154" t="s">
        <v>515</v>
      </c>
      <c r="E200" s="154">
        <v>1</v>
      </c>
      <c r="F200" s="155">
        <v>5.05</v>
      </c>
      <c r="G200" s="155">
        <f>F200*E200</f>
        <v>5.05</v>
      </c>
      <c r="H200" s="156" t="s">
        <v>366</v>
      </c>
      <c r="I200" s="198" t="s">
        <v>846</v>
      </c>
      <c r="J200" s="158" t="s">
        <v>362</v>
      </c>
      <c r="AN200" s="131">
        <v>4</v>
      </c>
    </row>
    <row r="201" spans="1:40" s="131" customFormat="1" ht="25.5" x14ac:dyDescent="0.2">
      <c r="A201" s="195" t="s">
        <v>213</v>
      </c>
      <c r="B201" s="222" t="s">
        <v>359</v>
      </c>
      <c r="C201" s="153"/>
      <c r="D201" s="154" t="s">
        <v>516</v>
      </c>
      <c r="E201" s="154">
        <v>1</v>
      </c>
      <c r="F201" s="155">
        <v>0.5</v>
      </c>
      <c r="G201" s="155">
        <f>F201*E201</f>
        <v>0.5</v>
      </c>
      <c r="H201" s="156"/>
      <c r="I201" s="198" t="s">
        <v>846</v>
      </c>
      <c r="J201" s="158" t="s">
        <v>362</v>
      </c>
      <c r="AN201" s="131">
        <v>4</v>
      </c>
    </row>
    <row r="202" spans="1:40" s="131" customFormat="1" ht="25.5" x14ac:dyDescent="0.2">
      <c r="A202" s="195" t="s">
        <v>213</v>
      </c>
      <c r="B202" s="222" t="s">
        <v>361</v>
      </c>
      <c r="C202" s="153" t="s">
        <v>517</v>
      </c>
      <c r="D202" s="154" t="s">
        <v>360</v>
      </c>
      <c r="E202" s="154">
        <v>9</v>
      </c>
      <c r="F202" s="155">
        <v>0</v>
      </c>
      <c r="G202" s="155">
        <f>F202*E202</f>
        <v>0</v>
      </c>
      <c r="H202" s="156"/>
      <c r="I202" s="198" t="s">
        <v>846</v>
      </c>
      <c r="J202" s="158"/>
      <c r="AN202" s="131">
        <v>4</v>
      </c>
    </row>
    <row r="203" spans="1:40" s="131" customFormat="1" x14ac:dyDescent="0.2">
      <c r="A203" s="195" t="s">
        <v>237</v>
      </c>
      <c r="B203" s="222" t="s">
        <v>190</v>
      </c>
      <c r="C203" s="196" t="s">
        <v>941</v>
      </c>
      <c r="D203" s="197" t="s">
        <v>519</v>
      </c>
      <c r="E203" s="197">
        <v>1</v>
      </c>
      <c r="F203" s="197"/>
      <c r="G203" s="197"/>
      <c r="H203" s="195"/>
      <c r="I203" s="198"/>
      <c r="J203" s="199"/>
      <c r="AN203" s="131">
        <v>3</v>
      </c>
    </row>
    <row r="204" spans="1:40" s="131" customFormat="1" ht="25.5" x14ac:dyDescent="0.2">
      <c r="A204" s="195" t="s">
        <v>213</v>
      </c>
      <c r="B204" s="222" t="s">
        <v>363</v>
      </c>
      <c r="C204" s="153" t="s">
        <v>942</v>
      </c>
      <c r="D204" s="154" t="s">
        <v>521</v>
      </c>
      <c r="E204" s="154">
        <v>1</v>
      </c>
      <c r="F204" s="155">
        <v>2.79</v>
      </c>
      <c r="G204" s="155">
        <f>F204*E204</f>
        <v>2.79</v>
      </c>
      <c r="H204" s="156" t="s">
        <v>366</v>
      </c>
      <c r="I204" s="157"/>
      <c r="J204" s="158" t="s">
        <v>362</v>
      </c>
      <c r="AN204" s="131">
        <v>4</v>
      </c>
    </row>
    <row r="205" spans="1:40" s="131" customFormat="1" ht="25.5" x14ac:dyDescent="0.2">
      <c r="A205" s="195" t="s">
        <v>213</v>
      </c>
      <c r="B205" s="222" t="s">
        <v>364</v>
      </c>
      <c r="C205" s="153"/>
      <c r="D205" s="154" t="s">
        <v>943</v>
      </c>
      <c r="E205" s="154">
        <v>1</v>
      </c>
      <c r="F205" s="155">
        <v>0.3</v>
      </c>
      <c r="G205" s="155">
        <f>F205*E205</f>
        <v>0.3</v>
      </c>
      <c r="H205" s="156"/>
      <c r="I205" s="157"/>
      <c r="J205" s="158" t="s">
        <v>362</v>
      </c>
      <c r="AN205" s="131">
        <v>4</v>
      </c>
    </row>
    <row r="206" spans="1:40" s="131" customFormat="1" ht="25.5" x14ac:dyDescent="0.2">
      <c r="A206" s="195" t="s">
        <v>213</v>
      </c>
      <c r="B206" s="222" t="s">
        <v>365</v>
      </c>
      <c r="C206" s="153" t="s">
        <v>523</v>
      </c>
      <c r="D206" s="154" t="s">
        <v>360</v>
      </c>
      <c r="E206" s="154">
        <v>11</v>
      </c>
      <c r="F206" s="155">
        <v>0</v>
      </c>
      <c r="G206" s="155">
        <f>F206*E206</f>
        <v>0</v>
      </c>
      <c r="H206" s="156"/>
      <c r="I206" s="157"/>
      <c r="J206" s="158"/>
      <c r="AN206" s="131">
        <v>4</v>
      </c>
    </row>
    <row r="207" spans="1:40" s="131" customFormat="1" x14ac:dyDescent="0.2">
      <c r="A207" s="195" t="s">
        <v>237</v>
      </c>
      <c r="B207" s="222" t="s">
        <v>191</v>
      </c>
      <c r="C207" s="196" t="s">
        <v>944</v>
      </c>
      <c r="D207" s="197" t="s">
        <v>525</v>
      </c>
      <c r="E207" s="197">
        <v>1</v>
      </c>
      <c r="F207" s="197"/>
      <c r="G207" s="197"/>
      <c r="H207" s="195"/>
      <c r="I207" s="198"/>
      <c r="J207" s="199"/>
      <c r="AN207" s="131">
        <v>3</v>
      </c>
    </row>
    <row r="208" spans="1:40" s="131" customFormat="1" ht="25.5" x14ac:dyDescent="0.2">
      <c r="A208" s="195" t="s">
        <v>213</v>
      </c>
      <c r="B208" s="222" t="s">
        <v>349</v>
      </c>
      <c r="C208" s="153" t="s">
        <v>921</v>
      </c>
      <c r="D208" s="154" t="s">
        <v>922</v>
      </c>
      <c r="E208" s="154">
        <v>1</v>
      </c>
      <c r="F208" s="155">
        <v>2.06</v>
      </c>
      <c r="G208" s="155">
        <f>F208*E208</f>
        <v>2.06</v>
      </c>
      <c r="H208" s="156" t="s">
        <v>366</v>
      </c>
      <c r="I208" s="157"/>
      <c r="J208" s="158" t="s">
        <v>362</v>
      </c>
      <c r="AN208" s="131">
        <v>4</v>
      </c>
    </row>
    <row r="209" spans="1:40" s="131" customFormat="1" ht="25.5" x14ac:dyDescent="0.2">
      <c r="A209" s="195" t="s">
        <v>213</v>
      </c>
      <c r="B209" s="222" t="s">
        <v>350</v>
      </c>
      <c r="C209" s="153"/>
      <c r="D209" s="154" t="s">
        <v>923</v>
      </c>
      <c r="E209" s="154">
        <v>1</v>
      </c>
      <c r="F209" s="155">
        <v>0.3</v>
      </c>
      <c r="G209" s="155">
        <f>F209*E209</f>
        <v>0.3</v>
      </c>
      <c r="H209" s="156"/>
      <c r="I209" s="157"/>
      <c r="J209" s="158" t="s">
        <v>362</v>
      </c>
      <c r="AN209" s="131">
        <v>4</v>
      </c>
    </row>
    <row r="210" spans="1:40" s="131" customFormat="1" ht="25.5" x14ac:dyDescent="0.2">
      <c r="A210" s="195" t="s">
        <v>213</v>
      </c>
      <c r="B210" s="222" t="s">
        <v>351</v>
      </c>
      <c r="C210" s="153" t="s">
        <v>523</v>
      </c>
      <c r="D210" s="154" t="s">
        <v>360</v>
      </c>
      <c r="E210" s="154">
        <v>7</v>
      </c>
      <c r="F210" s="155">
        <v>0</v>
      </c>
      <c r="G210" s="155">
        <f>F210*E210</f>
        <v>0</v>
      </c>
      <c r="H210" s="156"/>
      <c r="I210" s="157"/>
      <c r="J210" s="158"/>
      <c r="AN210" s="131">
        <v>4</v>
      </c>
    </row>
    <row r="211" spans="1:40" s="131" customFormat="1" outlineLevel="1" x14ac:dyDescent="0.2">
      <c r="A211" s="195" t="s">
        <v>237</v>
      </c>
      <c r="B211" s="218" t="s">
        <v>191</v>
      </c>
      <c r="C211" s="196" t="s">
        <v>524</v>
      </c>
      <c r="D211" s="197" t="s">
        <v>525</v>
      </c>
      <c r="E211" s="197">
        <f>1*1</f>
        <v>1</v>
      </c>
      <c r="F211" s="207"/>
      <c r="G211" s="207" t="str">
        <f>""</f>
        <v/>
      </c>
      <c r="H211" s="195"/>
      <c r="I211" s="198" t="s">
        <v>945</v>
      </c>
      <c r="J211" s="199"/>
      <c r="AN211" s="131">
        <v>3</v>
      </c>
    </row>
    <row r="212" spans="1:40" s="131" customFormat="1" ht="25.5" outlineLevel="2" x14ac:dyDescent="0.2">
      <c r="A212" s="195" t="s">
        <v>162</v>
      </c>
      <c r="B212" s="218" t="s">
        <v>349</v>
      </c>
      <c r="C212" s="153" t="s">
        <v>526</v>
      </c>
      <c r="D212" s="154" t="s">
        <v>527</v>
      </c>
      <c r="E212" s="154">
        <f>1*1</f>
        <v>1</v>
      </c>
      <c r="F212" s="155">
        <v>1.35</v>
      </c>
      <c r="G212" s="155">
        <f>F212*E212</f>
        <v>1.35</v>
      </c>
      <c r="H212" s="156" t="s">
        <v>366</v>
      </c>
      <c r="I212" s="198" t="s">
        <v>945</v>
      </c>
      <c r="J212" s="158" t="s">
        <v>362</v>
      </c>
      <c r="AN212" s="131">
        <v>4</v>
      </c>
    </row>
    <row r="213" spans="1:40" s="131" customFormat="1" ht="25.5" outlineLevel="2" x14ac:dyDescent="0.2">
      <c r="A213" s="195" t="s">
        <v>162</v>
      </c>
      <c r="B213" s="218" t="s">
        <v>350</v>
      </c>
      <c r="C213" s="153"/>
      <c r="D213" s="154" t="s">
        <v>528</v>
      </c>
      <c r="E213" s="154">
        <f>1*1</f>
        <v>1</v>
      </c>
      <c r="F213" s="155">
        <v>0.2</v>
      </c>
      <c r="G213" s="155">
        <f>F213*E213</f>
        <v>0.2</v>
      </c>
      <c r="H213" s="156"/>
      <c r="I213" s="198" t="s">
        <v>945</v>
      </c>
      <c r="J213" s="158" t="s">
        <v>362</v>
      </c>
      <c r="AN213" s="131">
        <v>4</v>
      </c>
    </row>
    <row r="214" spans="1:40" s="131" customFormat="1" ht="25.5" outlineLevel="2" x14ac:dyDescent="0.2">
      <c r="A214" s="195" t="s">
        <v>162</v>
      </c>
      <c r="B214" s="218" t="s">
        <v>351</v>
      </c>
      <c r="C214" s="153" t="s">
        <v>523</v>
      </c>
      <c r="D214" s="154" t="s">
        <v>360</v>
      </c>
      <c r="E214" s="154">
        <f>7*1</f>
        <v>7</v>
      </c>
      <c r="F214" s="155">
        <v>0</v>
      </c>
      <c r="G214" s="155">
        <f>F214*E214</f>
        <v>0</v>
      </c>
      <c r="H214" s="156"/>
      <c r="I214" s="198" t="s">
        <v>945</v>
      </c>
      <c r="J214" s="158"/>
      <c r="AN214" s="131">
        <v>4</v>
      </c>
    </row>
    <row r="215" spans="1:40" s="131" customFormat="1" outlineLevel="1" x14ac:dyDescent="0.2">
      <c r="A215" s="195" t="s">
        <v>237</v>
      </c>
      <c r="B215" s="218" t="s">
        <v>192</v>
      </c>
      <c r="C215" s="196" t="s">
        <v>529</v>
      </c>
      <c r="D215" s="197" t="s">
        <v>530</v>
      </c>
      <c r="E215" s="197">
        <f>1*1</f>
        <v>1</v>
      </c>
      <c r="F215" s="207"/>
      <c r="G215" s="207" t="str">
        <f>""</f>
        <v/>
      </c>
      <c r="H215" s="195"/>
      <c r="I215" s="198" t="s">
        <v>945</v>
      </c>
      <c r="J215" s="199"/>
      <c r="AN215" s="131">
        <v>3</v>
      </c>
    </row>
    <row r="216" spans="1:40" s="131" customFormat="1" ht="25.5" outlineLevel="2" x14ac:dyDescent="0.2">
      <c r="A216" s="195" t="s">
        <v>162</v>
      </c>
      <c r="B216" s="218" t="s">
        <v>352</v>
      </c>
      <c r="C216" s="153" t="s">
        <v>531</v>
      </c>
      <c r="D216" s="154" t="s">
        <v>532</v>
      </c>
      <c r="E216" s="154">
        <f>1*1</f>
        <v>1</v>
      </c>
      <c r="F216" s="155">
        <v>0.28000000000000003</v>
      </c>
      <c r="G216" s="155">
        <f>F216*E216</f>
        <v>0.28000000000000003</v>
      </c>
      <c r="H216" s="156" t="s">
        <v>366</v>
      </c>
      <c r="I216" s="198" t="s">
        <v>945</v>
      </c>
      <c r="J216" s="158" t="s">
        <v>362</v>
      </c>
      <c r="AN216" s="131">
        <v>4</v>
      </c>
    </row>
    <row r="217" spans="1:40" s="131" customFormat="1" ht="25.5" outlineLevel="2" x14ac:dyDescent="0.2">
      <c r="A217" s="195" t="s">
        <v>162</v>
      </c>
      <c r="B217" s="218" t="s">
        <v>353</v>
      </c>
      <c r="C217" s="153"/>
      <c r="D217" s="154" t="s">
        <v>533</v>
      </c>
      <c r="E217" s="154">
        <f>1*1</f>
        <v>1</v>
      </c>
      <c r="F217" s="155">
        <v>8.67</v>
      </c>
      <c r="G217" s="155">
        <f>F217*E217</f>
        <v>8.67</v>
      </c>
      <c r="H217" s="156"/>
      <c r="I217" s="198" t="s">
        <v>945</v>
      </c>
      <c r="J217" s="158" t="s">
        <v>362</v>
      </c>
      <c r="AN217" s="131">
        <v>4</v>
      </c>
    </row>
    <row r="218" spans="1:40" s="131" customFormat="1" ht="25.5" outlineLevel="2" x14ac:dyDescent="0.2">
      <c r="A218" s="195" t="s">
        <v>162</v>
      </c>
      <c r="B218" s="218" t="s">
        <v>354</v>
      </c>
      <c r="C218" s="153" t="s">
        <v>523</v>
      </c>
      <c r="D218" s="154" t="s">
        <v>360</v>
      </c>
      <c r="E218" s="154">
        <f>4*1</f>
        <v>4</v>
      </c>
      <c r="F218" s="155">
        <v>0</v>
      </c>
      <c r="G218" s="155">
        <f>F218*E218</f>
        <v>0</v>
      </c>
      <c r="H218" s="156"/>
      <c r="I218" s="198" t="s">
        <v>945</v>
      </c>
      <c r="J218" s="158"/>
      <c r="AN218" s="131">
        <v>4</v>
      </c>
    </row>
    <row r="219" spans="1:40" s="131" customFormat="1" outlineLevel="1" x14ac:dyDescent="0.2">
      <c r="A219" s="195" t="s">
        <v>237</v>
      </c>
      <c r="B219" s="218" t="s">
        <v>193</v>
      </c>
      <c r="C219" s="196" t="s">
        <v>534</v>
      </c>
      <c r="D219" s="197" t="s">
        <v>530</v>
      </c>
      <c r="E219" s="197">
        <f>1*1</f>
        <v>1</v>
      </c>
      <c r="F219" s="207"/>
      <c r="G219" s="207" t="str">
        <f>""</f>
        <v/>
      </c>
      <c r="H219" s="195"/>
      <c r="I219" s="198" t="s">
        <v>945</v>
      </c>
      <c r="J219" s="199"/>
      <c r="AN219" s="131">
        <v>3</v>
      </c>
    </row>
    <row r="220" spans="1:40" s="131" customFormat="1" ht="25.5" outlineLevel="2" x14ac:dyDescent="0.2">
      <c r="A220" s="195" t="s">
        <v>162</v>
      </c>
      <c r="B220" s="218" t="s">
        <v>535</v>
      </c>
      <c r="C220" s="153" t="s">
        <v>536</v>
      </c>
      <c r="D220" s="154" t="s">
        <v>532</v>
      </c>
      <c r="E220" s="154">
        <f>1*1</f>
        <v>1</v>
      </c>
      <c r="F220" s="155">
        <v>0.28000000000000003</v>
      </c>
      <c r="G220" s="155">
        <f>F220*E220</f>
        <v>0.28000000000000003</v>
      </c>
      <c r="H220" s="156" t="s">
        <v>366</v>
      </c>
      <c r="I220" s="198" t="s">
        <v>945</v>
      </c>
      <c r="J220" s="158" t="s">
        <v>362</v>
      </c>
      <c r="AN220" s="131">
        <v>4</v>
      </c>
    </row>
    <row r="221" spans="1:40" s="131" customFormat="1" ht="25.5" outlineLevel="2" x14ac:dyDescent="0.2">
      <c r="A221" s="195" t="s">
        <v>162</v>
      </c>
      <c r="B221" s="218" t="s">
        <v>537</v>
      </c>
      <c r="C221" s="153"/>
      <c r="D221" s="154" t="s">
        <v>538</v>
      </c>
      <c r="E221" s="154">
        <f>1*1</f>
        <v>1</v>
      </c>
      <c r="F221" s="155">
        <v>0.1</v>
      </c>
      <c r="G221" s="155">
        <f>F221*E221</f>
        <v>0.1</v>
      </c>
      <c r="H221" s="156"/>
      <c r="I221" s="198" t="s">
        <v>945</v>
      </c>
      <c r="J221" s="158" t="s">
        <v>362</v>
      </c>
      <c r="AN221" s="131">
        <v>4</v>
      </c>
    </row>
    <row r="222" spans="1:40" s="131" customFormat="1" ht="25.5" outlineLevel="2" x14ac:dyDescent="0.2">
      <c r="A222" s="195" t="s">
        <v>162</v>
      </c>
      <c r="B222" s="218" t="s">
        <v>539</v>
      </c>
      <c r="C222" s="153" t="s">
        <v>523</v>
      </c>
      <c r="D222" s="154" t="s">
        <v>360</v>
      </c>
      <c r="E222" s="154">
        <f>4*1</f>
        <v>4</v>
      </c>
      <c r="F222" s="155">
        <v>0</v>
      </c>
      <c r="G222" s="155">
        <f>F222*E222</f>
        <v>0</v>
      </c>
      <c r="H222" s="156"/>
      <c r="I222" s="198" t="s">
        <v>945</v>
      </c>
      <c r="J222" s="158"/>
      <c r="AN222" s="131">
        <v>4</v>
      </c>
    </row>
    <row r="223" spans="1:40" s="131" customFormat="1" outlineLevel="1" x14ac:dyDescent="0.2">
      <c r="A223" s="195" t="s">
        <v>237</v>
      </c>
      <c r="B223" s="218" t="s">
        <v>194</v>
      </c>
      <c r="C223" s="196" t="s">
        <v>540</v>
      </c>
      <c r="D223" s="197" t="s">
        <v>541</v>
      </c>
      <c r="E223" s="197">
        <f>1*1</f>
        <v>1</v>
      </c>
      <c r="F223" s="207"/>
      <c r="G223" s="207" t="str">
        <f>""</f>
        <v/>
      </c>
      <c r="H223" s="195"/>
      <c r="I223" s="198"/>
      <c r="J223" s="199"/>
      <c r="AN223" s="131">
        <v>3</v>
      </c>
    </row>
    <row r="224" spans="1:40" s="131" customFormat="1" outlineLevel="2" x14ac:dyDescent="0.2">
      <c r="A224" s="195" t="s">
        <v>213</v>
      </c>
      <c r="B224" s="218" t="s">
        <v>542</v>
      </c>
      <c r="C224" s="200" t="s">
        <v>543</v>
      </c>
      <c r="D224" s="201" t="s">
        <v>544</v>
      </c>
      <c r="E224" s="201">
        <f>2*1</f>
        <v>2</v>
      </c>
      <c r="F224" s="202">
        <v>0.01</v>
      </c>
      <c r="G224" s="202">
        <f>F224*E224</f>
        <v>0.02</v>
      </c>
      <c r="H224" s="203" t="s">
        <v>126</v>
      </c>
      <c r="I224" s="204"/>
      <c r="J224" s="205"/>
      <c r="AN224" s="131">
        <v>4</v>
      </c>
    </row>
    <row r="225" spans="1:40" s="131" customFormat="1" outlineLevel="2" x14ac:dyDescent="0.2">
      <c r="A225" s="195" t="s">
        <v>213</v>
      </c>
      <c r="B225" s="218" t="s">
        <v>545</v>
      </c>
      <c r="C225" s="200" t="s">
        <v>546</v>
      </c>
      <c r="D225" s="201" t="s">
        <v>547</v>
      </c>
      <c r="E225" s="201">
        <f>1*1</f>
        <v>1</v>
      </c>
      <c r="F225" s="202">
        <v>0.74</v>
      </c>
      <c r="G225" s="202">
        <f>F225*E225</f>
        <v>0.74</v>
      </c>
      <c r="H225" s="203" t="s">
        <v>126</v>
      </c>
      <c r="I225" s="204"/>
      <c r="J225" s="205"/>
      <c r="AN225" s="131">
        <v>4</v>
      </c>
    </row>
    <row r="226" spans="1:40" s="131" customFormat="1" outlineLevel="1" x14ac:dyDescent="0.2">
      <c r="A226" s="195" t="s">
        <v>237</v>
      </c>
      <c r="B226" s="218" t="s">
        <v>195</v>
      </c>
      <c r="C226" s="196" t="s">
        <v>548</v>
      </c>
      <c r="D226" s="197" t="s">
        <v>549</v>
      </c>
      <c r="E226" s="197">
        <f>1*1</f>
        <v>1</v>
      </c>
      <c r="F226" s="207"/>
      <c r="G226" s="207" t="str">
        <f>""</f>
        <v/>
      </c>
      <c r="H226" s="195"/>
      <c r="I226" s="198"/>
      <c r="J226" s="199"/>
      <c r="AN226" s="131">
        <v>3</v>
      </c>
    </row>
    <row r="227" spans="1:40" s="131" customFormat="1" outlineLevel="2" x14ac:dyDescent="0.2">
      <c r="A227" s="195" t="s">
        <v>213</v>
      </c>
      <c r="B227" s="218" t="s">
        <v>550</v>
      </c>
      <c r="C227" s="200" t="s">
        <v>551</v>
      </c>
      <c r="D227" s="201" t="s">
        <v>552</v>
      </c>
      <c r="E227" s="201">
        <f>1*1</f>
        <v>1</v>
      </c>
      <c r="F227" s="202">
        <v>1.06</v>
      </c>
      <c r="G227" s="202">
        <f>F227*E227</f>
        <v>1.06</v>
      </c>
      <c r="H227" s="203" t="s">
        <v>126</v>
      </c>
      <c r="I227" s="204"/>
      <c r="J227" s="205"/>
      <c r="AN227" s="131">
        <v>4</v>
      </c>
    </row>
    <row r="228" spans="1:40" s="131" customFormat="1" outlineLevel="2" x14ac:dyDescent="0.2">
      <c r="A228" s="195" t="s">
        <v>213</v>
      </c>
      <c r="B228" s="218" t="s">
        <v>553</v>
      </c>
      <c r="C228" s="200" t="s">
        <v>554</v>
      </c>
      <c r="D228" s="201" t="s">
        <v>555</v>
      </c>
      <c r="E228" s="201">
        <f>1*1</f>
        <v>1</v>
      </c>
      <c r="F228" s="202">
        <v>0.06</v>
      </c>
      <c r="G228" s="202">
        <f>F228*E228</f>
        <v>0.06</v>
      </c>
      <c r="H228" s="203" t="s">
        <v>126</v>
      </c>
      <c r="I228" s="204"/>
      <c r="J228" s="205"/>
      <c r="AN228" s="131">
        <v>4</v>
      </c>
    </row>
    <row r="229" spans="1:40" s="131" customFormat="1" outlineLevel="2" x14ac:dyDescent="0.2">
      <c r="A229" s="195" t="s">
        <v>213</v>
      </c>
      <c r="B229" s="218" t="s">
        <v>556</v>
      </c>
      <c r="C229" s="200" t="s">
        <v>557</v>
      </c>
      <c r="D229" s="201" t="s">
        <v>558</v>
      </c>
      <c r="E229" s="201">
        <f>4*1</f>
        <v>4</v>
      </c>
      <c r="F229" s="202">
        <v>0.01</v>
      </c>
      <c r="G229" s="202">
        <f>F229*E229</f>
        <v>0.04</v>
      </c>
      <c r="H229" s="203" t="s">
        <v>126</v>
      </c>
      <c r="I229" s="204"/>
      <c r="J229" s="205"/>
      <c r="AN229" s="131">
        <v>4</v>
      </c>
    </row>
    <row r="230" spans="1:40" s="131" customFormat="1" outlineLevel="1" x14ac:dyDescent="0.2">
      <c r="A230" s="195" t="s">
        <v>237</v>
      </c>
      <c r="B230" s="218" t="s">
        <v>196</v>
      </c>
      <c r="C230" s="196" t="s">
        <v>559</v>
      </c>
      <c r="D230" s="197" t="s">
        <v>560</v>
      </c>
      <c r="E230" s="197">
        <f>1*1</f>
        <v>1</v>
      </c>
      <c r="F230" s="207"/>
      <c r="G230" s="207" t="str">
        <f>""</f>
        <v/>
      </c>
      <c r="H230" s="195"/>
      <c r="I230" s="198"/>
      <c r="J230" s="199"/>
      <c r="AN230" s="131">
        <v>3</v>
      </c>
    </row>
    <row r="231" spans="1:40" s="131" customFormat="1" outlineLevel="2" x14ac:dyDescent="0.2">
      <c r="A231" s="195" t="s">
        <v>213</v>
      </c>
      <c r="B231" s="218" t="s">
        <v>561</v>
      </c>
      <c r="C231" s="200" t="s">
        <v>562</v>
      </c>
      <c r="D231" s="201" t="s">
        <v>563</v>
      </c>
      <c r="E231" s="201">
        <f>1*1</f>
        <v>1</v>
      </c>
      <c r="F231" s="202">
        <v>0.63</v>
      </c>
      <c r="G231" s="202">
        <f>F231*E231</f>
        <v>0.63</v>
      </c>
      <c r="H231" s="203" t="s">
        <v>126</v>
      </c>
      <c r="I231" s="204"/>
      <c r="J231" s="205"/>
      <c r="AN231" s="131">
        <v>4</v>
      </c>
    </row>
    <row r="232" spans="1:40" s="131" customFormat="1" outlineLevel="2" x14ac:dyDescent="0.2">
      <c r="A232" s="195" t="s">
        <v>213</v>
      </c>
      <c r="B232" s="218" t="s">
        <v>564</v>
      </c>
      <c r="C232" s="200" t="s">
        <v>557</v>
      </c>
      <c r="D232" s="201" t="s">
        <v>558</v>
      </c>
      <c r="E232" s="201">
        <f>2*1</f>
        <v>2</v>
      </c>
      <c r="F232" s="202">
        <v>0.01</v>
      </c>
      <c r="G232" s="202">
        <f>F232*E232</f>
        <v>0.02</v>
      </c>
      <c r="H232" s="203" t="s">
        <v>126</v>
      </c>
      <c r="I232" s="204"/>
      <c r="J232" s="205"/>
      <c r="AN232" s="131">
        <v>4</v>
      </c>
    </row>
    <row r="233" spans="1:40" s="131" customFormat="1" outlineLevel="1" x14ac:dyDescent="0.2">
      <c r="A233" s="195" t="s">
        <v>237</v>
      </c>
      <c r="B233" s="218" t="s">
        <v>199</v>
      </c>
      <c r="C233" s="196" t="s">
        <v>579</v>
      </c>
      <c r="D233" s="197" t="s">
        <v>580</v>
      </c>
      <c r="E233" s="197">
        <f>1*1</f>
        <v>1</v>
      </c>
      <c r="F233" s="207"/>
      <c r="G233" s="207" t="str">
        <f>""</f>
        <v/>
      </c>
      <c r="H233" s="195"/>
      <c r="I233" s="198"/>
      <c r="J233" s="199"/>
      <c r="AN233" s="131">
        <v>3</v>
      </c>
    </row>
    <row r="234" spans="1:40" s="131" customFormat="1" outlineLevel="2" x14ac:dyDescent="0.2">
      <c r="A234" s="195" t="s">
        <v>213</v>
      </c>
      <c r="B234" s="218" t="s">
        <v>581</v>
      </c>
      <c r="C234" s="200" t="s">
        <v>390</v>
      </c>
      <c r="D234" s="201" t="s">
        <v>391</v>
      </c>
      <c r="E234" s="201">
        <f>1*1</f>
        <v>1</v>
      </c>
      <c r="F234" s="202">
        <v>0.14000000000000001</v>
      </c>
      <c r="G234" s="202">
        <f t="shared" ref="G234:G240" si="11">F234*E234</f>
        <v>0.14000000000000001</v>
      </c>
      <c r="H234" s="203" t="s">
        <v>126</v>
      </c>
      <c r="I234" s="204"/>
      <c r="J234" s="205"/>
      <c r="AN234" s="131">
        <v>4</v>
      </c>
    </row>
    <row r="235" spans="1:40" s="131" customFormat="1" outlineLevel="2" x14ac:dyDescent="0.2">
      <c r="A235" s="195" t="s">
        <v>213</v>
      </c>
      <c r="B235" s="218" t="s">
        <v>582</v>
      </c>
      <c r="C235" s="200" t="s">
        <v>583</v>
      </c>
      <c r="D235" s="201" t="s">
        <v>286</v>
      </c>
      <c r="E235" s="201">
        <f>1*1</f>
        <v>1</v>
      </c>
      <c r="F235" s="202">
        <v>0.47</v>
      </c>
      <c r="G235" s="202">
        <f t="shared" si="11"/>
        <v>0.47</v>
      </c>
      <c r="H235" s="203" t="s">
        <v>126</v>
      </c>
      <c r="I235" s="204"/>
      <c r="J235" s="205"/>
      <c r="AN235" s="131">
        <v>4</v>
      </c>
    </row>
    <row r="236" spans="1:40" s="131" customFormat="1" outlineLevel="2" x14ac:dyDescent="0.2">
      <c r="A236" s="195" t="s">
        <v>213</v>
      </c>
      <c r="B236" s="218" t="s">
        <v>584</v>
      </c>
      <c r="C236" s="200" t="s">
        <v>585</v>
      </c>
      <c r="D236" s="201" t="s">
        <v>286</v>
      </c>
      <c r="E236" s="201">
        <f>1*1</f>
        <v>1</v>
      </c>
      <c r="F236" s="202">
        <v>0.47</v>
      </c>
      <c r="G236" s="202">
        <f t="shared" si="11"/>
        <v>0.47</v>
      </c>
      <c r="H236" s="203" t="s">
        <v>126</v>
      </c>
      <c r="I236" s="204"/>
      <c r="J236" s="205"/>
      <c r="AN236" s="131">
        <v>4</v>
      </c>
    </row>
    <row r="237" spans="1:40" s="131" customFormat="1" outlineLevel="2" x14ac:dyDescent="0.2">
      <c r="A237" s="195" t="s">
        <v>213</v>
      </c>
      <c r="B237" s="218" t="s">
        <v>586</v>
      </c>
      <c r="C237" s="200" t="s">
        <v>288</v>
      </c>
      <c r="D237" s="201" t="s">
        <v>287</v>
      </c>
      <c r="E237" s="201">
        <f>1*1</f>
        <v>1</v>
      </c>
      <c r="F237" s="202">
        <v>0.45</v>
      </c>
      <c r="G237" s="202">
        <f t="shared" si="11"/>
        <v>0.45</v>
      </c>
      <c r="H237" s="203" t="s">
        <v>126</v>
      </c>
      <c r="I237" s="204"/>
      <c r="J237" s="205"/>
      <c r="AN237" s="131">
        <v>4</v>
      </c>
    </row>
    <row r="238" spans="1:40" s="131" customFormat="1" outlineLevel="2" x14ac:dyDescent="0.2">
      <c r="A238" s="195" t="s">
        <v>213</v>
      </c>
      <c r="B238" s="218" t="s">
        <v>587</v>
      </c>
      <c r="C238" s="200" t="s">
        <v>588</v>
      </c>
      <c r="D238" s="201" t="s">
        <v>589</v>
      </c>
      <c r="E238" s="201">
        <f>3*1</f>
        <v>3</v>
      </c>
      <c r="F238" s="202">
        <v>0.01</v>
      </c>
      <c r="G238" s="202">
        <f t="shared" si="11"/>
        <v>0.03</v>
      </c>
      <c r="H238" s="203" t="s">
        <v>126</v>
      </c>
      <c r="I238" s="204"/>
      <c r="J238" s="205"/>
      <c r="AN238" s="131">
        <v>4</v>
      </c>
    </row>
    <row r="239" spans="1:40" s="131" customFormat="1" outlineLevel="2" x14ac:dyDescent="0.2">
      <c r="A239" s="195" t="s">
        <v>213</v>
      </c>
      <c r="B239" s="218" t="s">
        <v>590</v>
      </c>
      <c r="C239" s="200" t="s">
        <v>392</v>
      </c>
      <c r="D239" s="201" t="s">
        <v>289</v>
      </c>
      <c r="E239" s="201">
        <f>2*1</f>
        <v>2</v>
      </c>
      <c r="F239" s="202">
        <v>0.01</v>
      </c>
      <c r="G239" s="202">
        <f t="shared" si="11"/>
        <v>0.02</v>
      </c>
      <c r="H239" s="203" t="s">
        <v>126</v>
      </c>
      <c r="I239" s="204"/>
      <c r="J239" s="205"/>
      <c r="AN239" s="131">
        <v>4</v>
      </c>
    </row>
    <row r="240" spans="1:40" s="131" customFormat="1" outlineLevel="2" x14ac:dyDescent="0.2">
      <c r="A240" s="195" t="s">
        <v>213</v>
      </c>
      <c r="B240" s="218" t="s">
        <v>591</v>
      </c>
      <c r="C240" s="200" t="s">
        <v>592</v>
      </c>
      <c r="D240" s="201" t="s">
        <v>287</v>
      </c>
      <c r="E240" s="201">
        <f>1*1</f>
        <v>1</v>
      </c>
      <c r="F240" s="202">
        <v>0.45</v>
      </c>
      <c r="G240" s="202">
        <f t="shared" si="11"/>
        <v>0.45</v>
      </c>
      <c r="H240" s="203" t="s">
        <v>126</v>
      </c>
      <c r="I240" s="204"/>
      <c r="J240" s="205"/>
      <c r="AN240" s="131">
        <v>4</v>
      </c>
    </row>
    <row r="241" spans="1:40" s="131" customFormat="1" outlineLevel="1" collapsed="1" x14ac:dyDescent="0.2">
      <c r="A241" s="195" t="s">
        <v>237</v>
      </c>
      <c r="B241" s="218" t="s">
        <v>200</v>
      </c>
      <c r="C241" s="196" t="s">
        <v>593</v>
      </c>
      <c r="D241" s="197" t="s">
        <v>594</v>
      </c>
      <c r="E241" s="197">
        <f>2*1</f>
        <v>2</v>
      </c>
      <c r="F241" s="207"/>
      <c r="G241" s="207" t="str">
        <f>""</f>
        <v/>
      </c>
      <c r="H241" s="195"/>
      <c r="I241" s="198" t="s">
        <v>945</v>
      </c>
      <c r="J241" s="199"/>
      <c r="AN241" s="131">
        <v>3</v>
      </c>
    </row>
    <row r="242" spans="1:40" s="131" customFormat="1" outlineLevel="2" x14ac:dyDescent="0.2">
      <c r="A242" s="195" t="s">
        <v>213</v>
      </c>
      <c r="B242" s="218" t="s">
        <v>595</v>
      </c>
      <c r="C242" s="200" t="s">
        <v>596</v>
      </c>
      <c r="D242" s="201" t="s">
        <v>597</v>
      </c>
      <c r="E242" s="201">
        <f>1*2</f>
        <v>2</v>
      </c>
      <c r="F242" s="202">
        <v>7.0000000000000007E-2</v>
      </c>
      <c r="G242" s="202">
        <f>F242*E242</f>
        <v>0.14000000000000001</v>
      </c>
      <c r="H242" s="203">
        <v>1.4300999999999999</v>
      </c>
      <c r="I242" s="198" t="s">
        <v>945</v>
      </c>
      <c r="J242" s="205"/>
      <c r="AN242" s="131">
        <v>4</v>
      </c>
    </row>
    <row r="243" spans="1:40" s="131" customFormat="1" outlineLevel="2" x14ac:dyDescent="0.2">
      <c r="A243" s="195" t="s">
        <v>213</v>
      </c>
      <c r="B243" s="218" t="s">
        <v>598</v>
      </c>
      <c r="C243" s="200" t="s">
        <v>599</v>
      </c>
      <c r="D243" s="201" t="s">
        <v>600</v>
      </c>
      <c r="E243" s="201">
        <f>1*2</f>
        <v>2</v>
      </c>
      <c r="F243" s="202">
        <v>0.28999999999999998</v>
      </c>
      <c r="G243" s="202">
        <f>F243*E243</f>
        <v>0.57999999999999996</v>
      </c>
      <c r="H243" s="203">
        <v>1.4300999999999999</v>
      </c>
      <c r="I243" s="198" t="s">
        <v>945</v>
      </c>
      <c r="J243" s="205"/>
      <c r="AN243" s="131">
        <v>4</v>
      </c>
    </row>
    <row r="244" spans="1:40" s="131" customFormat="1" outlineLevel="2" x14ac:dyDescent="0.2">
      <c r="A244" s="195" t="s">
        <v>162</v>
      </c>
      <c r="B244" s="218" t="s">
        <v>601</v>
      </c>
      <c r="C244" s="153" t="s">
        <v>602</v>
      </c>
      <c r="D244" s="154" t="s">
        <v>603</v>
      </c>
      <c r="E244" s="154">
        <f>1*2</f>
        <v>2</v>
      </c>
      <c r="F244" s="155">
        <v>0.01</v>
      </c>
      <c r="G244" s="155">
        <f>F244*E244</f>
        <v>0.02</v>
      </c>
      <c r="H244" s="156">
        <v>1.4300999999999999</v>
      </c>
      <c r="I244" s="198" t="s">
        <v>945</v>
      </c>
      <c r="J244" s="158" t="s">
        <v>604</v>
      </c>
      <c r="AN244" s="131">
        <v>4</v>
      </c>
    </row>
    <row r="245" spans="1:40" s="131" customFormat="1" outlineLevel="1" x14ac:dyDescent="0.2">
      <c r="A245" s="195" t="s">
        <v>237</v>
      </c>
      <c r="B245" s="218" t="s">
        <v>201</v>
      </c>
      <c r="C245" s="196" t="s">
        <v>605</v>
      </c>
      <c r="D245" s="197" t="s">
        <v>606</v>
      </c>
      <c r="E245" s="197">
        <f t="shared" ref="E245:E266" si="12">1*1</f>
        <v>1</v>
      </c>
      <c r="F245" s="207"/>
      <c r="G245" s="207" t="str">
        <f>""</f>
        <v/>
      </c>
      <c r="H245" s="195"/>
      <c r="I245" s="198"/>
      <c r="J245" s="199"/>
      <c r="AN245" s="131">
        <v>3</v>
      </c>
    </row>
    <row r="246" spans="1:40" s="131" customFormat="1" outlineLevel="2" x14ac:dyDescent="0.2">
      <c r="A246" s="195" t="s">
        <v>213</v>
      </c>
      <c r="B246" s="218" t="s">
        <v>607</v>
      </c>
      <c r="C246" s="200" t="s">
        <v>608</v>
      </c>
      <c r="D246" s="201" t="s">
        <v>609</v>
      </c>
      <c r="E246" s="201">
        <f t="shared" si="12"/>
        <v>1</v>
      </c>
      <c r="F246" s="202">
        <v>0.09</v>
      </c>
      <c r="G246" s="202">
        <f>F246*E246</f>
        <v>0.09</v>
      </c>
      <c r="H246" s="203" t="s">
        <v>126</v>
      </c>
      <c r="I246" s="204"/>
      <c r="J246" s="205"/>
      <c r="AN246" s="131">
        <v>4</v>
      </c>
    </row>
    <row r="247" spans="1:40" s="131" customFormat="1" outlineLevel="2" x14ac:dyDescent="0.2">
      <c r="A247" s="195" t="s">
        <v>213</v>
      </c>
      <c r="B247" s="218" t="s">
        <v>610</v>
      </c>
      <c r="C247" s="200" t="s">
        <v>611</v>
      </c>
      <c r="D247" s="201" t="s">
        <v>393</v>
      </c>
      <c r="E247" s="201">
        <f t="shared" si="12"/>
        <v>1</v>
      </c>
      <c r="F247" s="202">
        <v>0</v>
      </c>
      <c r="G247" s="202">
        <f>F247*E247</f>
        <v>0</v>
      </c>
      <c r="H247" s="203" t="s">
        <v>126</v>
      </c>
      <c r="I247" s="204"/>
      <c r="J247" s="205"/>
      <c r="AN247" s="131">
        <v>4</v>
      </c>
    </row>
    <row r="248" spans="1:40" s="131" customFormat="1" outlineLevel="2" x14ac:dyDescent="0.2">
      <c r="A248" s="195" t="s">
        <v>213</v>
      </c>
      <c r="B248" s="218" t="s">
        <v>612</v>
      </c>
      <c r="C248" s="200" t="s">
        <v>613</v>
      </c>
      <c r="D248" s="201" t="s">
        <v>394</v>
      </c>
      <c r="E248" s="201">
        <f t="shared" si="12"/>
        <v>1</v>
      </c>
      <c r="F248" s="202">
        <v>0.02</v>
      </c>
      <c r="G248" s="202">
        <f>F248*E248</f>
        <v>0.02</v>
      </c>
      <c r="H248" s="203" t="s">
        <v>126</v>
      </c>
      <c r="I248" s="204"/>
      <c r="J248" s="205"/>
      <c r="AN248" s="131">
        <v>4</v>
      </c>
    </row>
    <row r="249" spans="1:40" s="131" customFormat="1" collapsed="1" x14ac:dyDescent="0.2">
      <c r="A249" s="195" t="s">
        <v>237</v>
      </c>
      <c r="B249" s="222" t="s">
        <v>201</v>
      </c>
      <c r="C249" s="196" t="s">
        <v>877</v>
      </c>
      <c r="D249" s="197" t="s">
        <v>606</v>
      </c>
      <c r="E249" s="197">
        <v>1</v>
      </c>
      <c r="F249" s="197"/>
      <c r="G249" s="197"/>
      <c r="H249" s="195"/>
      <c r="I249" s="198" t="s">
        <v>864</v>
      </c>
      <c r="J249" s="199"/>
      <c r="AN249" s="131">
        <v>3</v>
      </c>
    </row>
    <row r="250" spans="1:40" s="131" customFormat="1" x14ac:dyDescent="0.2">
      <c r="A250" s="195" t="s">
        <v>213</v>
      </c>
      <c r="B250" s="222" t="s">
        <v>607</v>
      </c>
      <c r="C250" s="200" t="s">
        <v>878</v>
      </c>
      <c r="D250" s="201" t="s">
        <v>609</v>
      </c>
      <c r="E250" s="201">
        <v>1</v>
      </c>
      <c r="F250" s="202">
        <v>0.09</v>
      </c>
      <c r="G250" s="202">
        <f>F250*E250</f>
        <v>0.09</v>
      </c>
      <c r="H250" s="203">
        <v>1.4300999999999999</v>
      </c>
      <c r="I250" s="198" t="s">
        <v>864</v>
      </c>
      <c r="J250" s="205"/>
      <c r="AN250" s="131">
        <v>4</v>
      </c>
    </row>
    <row r="251" spans="1:40" s="131" customFormat="1" x14ac:dyDescent="0.2">
      <c r="A251" s="195" t="s">
        <v>213</v>
      </c>
      <c r="B251" s="222" t="s">
        <v>610</v>
      </c>
      <c r="C251" s="200" t="s">
        <v>879</v>
      </c>
      <c r="D251" s="201" t="s">
        <v>393</v>
      </c>
      <c r="E251" s="201">
        <v>1</v>
      </c>
      <c r="F251" s="202">
        <v>0</v>
      </c>
      <c r="G251" s="202">
        <f>F251*E251</f>
        <v>0</v>
      </c>
      <c r="H251" s="203">
        <v>1.4300999999999999</v>
      </c>
      <c r="I251" s="198" t="s">
        <v>864</v>
      </c>
      <c r="J251" s="205"/>
      <c r="AN251" s="131">
        <v>4</v>
      </c>
    </row>
    <row r="252" spans="1:40" s="131" customFormat="1" x14ac:dyDescent="0.2">
      <c r="A252" s="195" t="s">
        <v>213</v>
      </c>
      <c r="B252" s="222" t="s">
        <v>612</v>
      </c>
      <c r="C252" s="200" t="s">
        <v>880</v>
      </c>
      <c r="D252" s="201" t="s">
        <v>394</v>
      </c>
      <c r="E252" s="201">
        <v>1</v>
      </c>
      <c r="F252" s="202">
        <v>0.02</v>
      </c>
      <c r="G252" s="202">
        <f>F252*E252</f>
        <v>0.02</v>
      </c>
      <c r="H252" s="203">
        <v>1.4300999999999999</v>
      </c>
      <c r="I252" s="198" t="s">
        <v>864</v>
      </c>
      <c r="J252" s="205"/>
      <c r="AN252" s="131">
        <v>4</v>
      </c>
    </row>
    <row r="253" spans="1:40" s="131" customFormat="1" outlineLevel="1" x14ac:dyDescent="0.2">
      <c r="A253" s="195" t="s">
        <v>237</v>
      </c>
      <c r="B253" s="218" t="s">
        <v>204</v>
      </c>
      <c r="C253" s="196" t="s">
        <v>633</v>
      </c>
      <c r="D253" s="197" t="s">
        <v>634</v>
      </c>
      <c r="E253" s="197">
        <f t="shared" si="12"/>
        <v>1</v>
      </c>
      <c r="F253" s="207"/>
      <c r="G253" s="207" t="str">
        <f>""</f>
        <v/>
      </c>
      <c r="H253" s="195"/>
      <c r="I253" s="198" t="s">
        <v>945</v>
      </c>
      <c r="J253" s="199"/>
      <c r="AN253" s="131">
        <v>3</v>
      </c>
    </row>
    <row r="254" spans="1:40" s="131" customFormat="1" outlineLevel="2" x14ac:dyDescent="0.2">
      <c r="A254" s="195" t="s">
        <v>213</v>
      </c>
      <c r="B254" s="218" t="s">
        <v>635</v>
      </c>
      <c r="C254" s="200" t="s">
        <v>636</v>
      </c>
      <c r="D254" s="201" t="s">
        <v>637</v>
      </c>
      <c r="E254" s="201">
        <f t="shared" si="12"/>
        <v>1</v>
      </c>
      <c r="F254" s="202">
        <v>0.23</v>
      </c>
      <c r="G254" s="202">
        <f>F254*E254</f>
        <v>0.23</v>
      </c>
      <c r="H254" s="203" t="s">
        <v>126</v>
      </c>
      <c r="I254" s="198" t="s">
        <v>945</v>
      </c>
      <c r="J254" s="205"/>
      <c r="AN254" s="131">
        <v>4</v>
      </c>
    </row>
    <row r="255" spans="1:40" s="131" customFormat="1" outlineLevel="2" x14ac:dyDescent="0.2">
      <c r="A255" s="195" t="s">
        <v>213</v>
      </c>
      <c r="B255" s="218" t="s">
        <v>638</v>
      </c>
      <c r="C255" s="200" t="s">
        <v>639</v>
      </c>
      <c r="D255" s="201" t="s">
        <v>640</v>
      </c>
      <c r="E255" s="201">
        <f t="shared" si="12"/>
        <v>1</v>
      </c>
      <c r="F255" s="202">
        <v>0.08</v>
      </c>
      <c r="G255" s="202">
        <f>F255*E255</f>
        <v>0.08</v>
      </c>
      <c r="H255" s="203" t="s">
        <v>126</v>
      </c>
      <c r="I255" s="198" t="s">
        <v>945</v>
      </c>
      <c r="J255" s="205"/>
      <c r="AN255" s="131">
        <v>4</v>
      </c>
    </row>
    <row r="256" spans="1:40" s="131" customFormat="1" outlineLevel="2" x14ac:dyDescent="0.2">
      <c r="A256" s="195" t="s">
        <v>213</v>
      </c>
      <c r="B256" s="218" t="s">
        <v>641</v>
      </c>
      <c r="C256" s="200" t="s">
        <v>642</v>
      </c>
      <c r="D256" s="201" t="s">
        <v>643</v>
      </c>
      <c r="E256" s="201">
        <f t="shared" si="12"/>
        <v>1</v>
      </c>
      <c r="F256" s="202">
        <v>0.08</v>
      </c>
      <c r="G256" s="202">
        <f>F256*E256</f>
        <v>0.08</v>
      </c>
      <c r="H256" s="203" t="s">
        <v>126</v>
      </c>
      <c r="I256" s="198" t="s">
        <v>945</v>
      </c>
      <c r="J256" s="205"/>
      <c r="AN256" s="131">
        <v>4</v>
      </c>
    </row>
    <row r="257" spans="1:40" s="131" customFormat="1" outlineLevel="2" x14ac:dyDescent="0.2">
      <c r="A257" s="195" t="s">
        <v>213</v>
      </c>
      <c r="B257" s="218" t="s">
        <v>644</v>
      </c>
      <c r="C257" s="200" t="s">
        <v>645</v>
      </c>
      <c r="D257" s="201" t="s">
        <v>646</v>
      </c>
      <c r="E257" s="201">
        <f t="shared" si="12"/>
        <v>1</v>
      </c>
      <c r="F257" s="202">
        <v>0.12</v>
      </c>
      <c r="G257" s="202">
        <f>F257*E257</f>
        <v>0.12</v>
      </c>
      <c r="H257" s="203" t="s">
        <v>126</v>
      </c>
      <c r="I257" s="198" t="s">
        <v>945</v>
      </c>
      <c r="J257" s="205"/>
      <c r="AN257" s="131">
        <v>4</v>
      </c>
    </row>
    <row r="258" spans="1:40" s="131" customFormat="1" outlineLevel="2" x14ac:dyDescent="0.2">
      <c r="A258" s="195" t="s">
        <v>213</v>
      </c>
      <c r="B258" s="218" t="s">
        <v>647</v>
      </c>
      <c r="C258" s="200" t="s">
        <v>648</v>
      </c>
      <c r="D258" s="201" t="s">
        <v>649</v>
      </c>
      <c r="E258" s="201">
        <f t="shared" si="12"/>
        <v>1</v>
      </c>
      <c r="F258" s="202">
        <v>0.02</v>
      </c>
      <c r="G258" s="202">
        <f>F258*E258</f>
        <v>0.02</v>
      </c>
      <c r="H258" s="203" t="s">
        <v>126</v>
      </c>
      <c r="I258" s="198" t="s">
        <v>945</v>
      </c>
      <c r="J258" s="205"/>
      <c r="AN258" s="131">
        <v>4</v>
      </c>
    </row>
    <row r="259" spans="1:40" s="131" customFormat="1" outlineLevel="1" x14ac:dyDescent="0.2">
      <c r="A259" s="195" t="s">
        <v>237</v>
      </c>
      <c r="B259" s="218" t="s">
        <v>205</v>
      </c>
      <c r="C259" s="196" t="s">
        <v>650</v>
      </c>
      <c r="D259" s="197" t="s">
        <v>634</v>
      </c>
      <c r="E259" s="197">
        <f t="shared" si="12"/>
        <v>1</v>
      </c>
      <c r="F259" s="207"/>
      <c r="G259" s="207" t="str">
        <f>""</f>
        <v/>
      </c>
      <c r="H259" s="195"/>
      <c r="I259" s="198" t="s">
        <v>945</v>
      </c>
      <c r="J259" s="199"/>
      <c r="AN259" s="131">
        <v>3</v>
      </c>
    </row>
    <row r="260" spans="1:40" s="131" customFormat="1" outlineLevel="2" x14ac:dyDescent="0.2">
      <c r="A260" s="195" t="s">
        <v>213</v>
      </c>
      <c r="B260" s="218" t="s">
        <v>651</v>
      </c>
      <c r="C260" s="200" t="s">
        <v>652</v>
      </c>
      <c r="D260" s="201" t="s">
        <v>637</v>
      </c>
      <c r="E260" s="201">
        <f t="shared" si="12"/>
        <v>1</v>
      </c>
      <c r="F260" s="202">
        <v>0.23</v>
      </c>
      <c r="G260" s="202">
        <f>F260*E260</f>
        <v>0.23</v>
      </c>
      <c r="H260" s="203" t="s">
        <v>126</v>
      </c>
      <c r="I260" s="198" t="s">
        <v>945</v>
      </c>
      <c r="J260" s="205"/>
      <c r="AN260" s="131">
        <v>4</v>
      </c>
    </row>
    <row r="261" spans="1:40" s="131" customFormat="1" outlineLevel="2" x14ac:dyDescent="0.2">
      <c r="A261" s="195" t="s">
        <v>213</v>
      </c>
      <c r="B261" s="218" t="s">
        <v>653</v>
      </c>
      <c r="C261" s="200" t="s">
        <v>639</v>
      </c>
      <c r="D261" s="201" t="s">
        <v>640</v>
      </c>
      <c r="E261" s="201">
        <f t="shared" si="12"/>
        <v>1</v>
      </c>
      <c r="F261" s="202">
        <v>0.08</v>
      </c>
      <c r="G261" s="202">
        <f>F261*E261</f>
        <v>0.08</v>
      </c>
      <c r="H261" s="203" t="s">
        <v>126</v>
      </c>
      <c r="I261" s="198" t="s">
        <v>945</v>
      </c>
      <c r="J261" s="205"/>
      <c r="AN261" s="131">
        <v>4</v>
      </c>
    </row>
    <row r="262" spans="1:40" s="131" customFormat="1" outlineLevel="2" x14ac:dyDescent="0.2">
      <c r="A262" s="195" t="s">
        <v>213</v>
      </c>
      <c r="B262" s="218" t="s">
        <v>654</v>
      </c>
      <c r="C262" s="200" t="s">
        <v>642</v>
      </c>
      <c r="D262" s="201" t="s">
        <v>643</v>
      </c>
      <c r="E262" s="201">
        <f t="shared" si="12"/>
        <v>1</v>
      </c>
      <c r="F262" s="202">
        <v>0.08</v>
      </c>
      <c r="G262" s="202">
        <f>F262*E262</f>
        <v>0.08</v>
      </c>
      <c r="H262" s="203" t="s">
        <v>126</v>
      </c>
      <c r="I262" s="198" t="s">
        <v>945</v>
      </c>
      <c r="J262" s="205"/>
      <c r="AN262" s="131">
        <v>4</v>
      </c>
    </row>
    <row r="263" spans="1:40" s="131" customFormat="1" outlineLevel="2" x14ac:dyDescent="0.2">
      <c r="A263" s="195" t="s">
        <v>213</v>
      </c>
      <c r="B263" s="218" t="s">
        <v>655</v>
      </c>
      <c r="C263" s="200" t="s">
        <v>656</v>
      </c>
      <c r="D263" s="201" t="s">
        <v>646</v>
      </c>
      <c r="E263" s="201">
        <f t="shared" si="12"/>
        <v>1</v>
      </c>
      <c r="F263" s="202">
        <v>0.12</v>
      </c>
      <c r="G263" s="202">
        <f>F263*E263</f>
        <v>0.12</v>
      </c>
      <c r="H263" s="203" t="s">
        <v>126</v>
      </c>
      <c r="I263" s="198" t="s">
        <v>945</v>
      </c>
      <c r="J263" s="205"/>
      <c r="AN263" s="131">
        <v>4</v>
      </c>
    </row>
    <row r="264" spans="1:40" s="131" customFormat="1" outlineLevel="2" x14ac:dyDescent="0.2">
      <c r="A264" s="195" t="s">
        <v>213</v>
      </c>
      <c r="B264" s="218" t="s">
        <v>657</v>
      </c>
      <c r="C264" s="200" t="s">
        <v>648</v>
      </c>
      <c r="D264" s="201" t="s">
        <v>649</v>
      </c>
      <c r="E264" s="201">
        <f t="shared" si="12"/>
        <v>1</v>
      </c>
      <c r="F264" s="202">
        <v>0.02</v>
      </c>
      <c r="G264" s="202">
        <f>F264*E264</f>
        <v>0.02</v>
      </c>
      <c r="H264" s="203" t="s">
        <v>126</v>
      </c>
      <c r="I264" s="198" t="s">
        <v>945</v>
      </c>
      <c r="J264" s="205"/>
      <c r="AN264" s="131">
        <v>4</v>
      </c>
    </row>
    <row r="265" spans="1:40" s="131" customFormat="1" outlineLevel="1" x14ac:dyDescent="0.2">
      <c r="A265" s="195" t="s">
        <v>237</v>
      </c>
      <c r="B265" s="218" t="s">
        <v>206</v>
      </c>
      <c r="C265" s="196" t="s">
        <v>658</v>
      </c>
      <c r="D265" s="197" t="s">
        <v>659</v>
      </c>
      <c r="E265" s="197">
        <f t="shared" si="12"/>
        <v>1</v>
      </c>
      <c r="F265" s="207"/>
      <c r="G265" s="207" t="str">
        <f>""</f>
        <v/>
      </c>
      <c r="H265" s="195"/>
      <c r="I265" s="198"/>
      <c r="J265" s="199"/>
      <c r="AN265" s="131">
        <v>3</v>
      </c>
    </row>
    <row r="266" spans="1:40" s="131" customFormat="1" outlineLevel="2" x14ac:dyDescent="0.2">
      <c r="A266" s="195" t="s">
        <v>213</v>
      </c>
      <c r="B266" s="218" t="s">
        <v>660</v>
      </c>
      <c r="C266" s="200" t="s">
        <v>661</v>
      </c>
      <c r="D266" s="201" t="s">
        <v>662</v>
      </c>
      <c r="E266" s="201">
        <f t="shared" si="12"/>
        <v>1</v>
      </c>
      <c r="F266" s="202">
        <v>0.47</v>
      </c>
      <c r="G266" s="202">
        <f t="shared" ref="G266:G290" si="13">F266*E266</f>
        <v>0.47</v>
      </c>
      <c r="H266" s="203" t="s">
        <v>126</v>
      </c>
      <c r="I266" s="204"/>
      <c r="J266" s="205"/>
      <c r="AN266" s="131">
        <v>4</v>
      </c>
    </row>
    <row r="267" spans="1:40" s="131" customFormat="1" outlineLevel="2" x14ac:dyDescent="0.2">
      <c r="A267" s="195" t="s">
        <v>213</v>
      </c>
      <c r="B267" s="218" t="s">
        <v>663</v>
      </c>
      <c r="C267" s="200" t="s">
        <v>664</v>
      </c>
      <c r="D267" s="201" t="s">
        <v>665</v>
      </c>
      <c r="E267" s="201">
        <f>2*1</f>
        <v>2</v>
      </c>
      <c r="F267" s="202">
        <v>0.86</v>
      </c>
      <c r="G267" s="202">
        <f t="shared" si="13"/>
        <v>1.72</v>
      </c>
      <c r="H267" s="203" t="s">
        <v>126</v>
      </c>
      <c r="I267" s="204"/>
      <c r="J267" s="205"/>
      <c r="AN267" s="131">
        <v>4</v>
      </c>
    </row>
    <row r="268" spans="1:40" s="131" customFormat="1" outlineLevel="2" x14ac:dyDescent="0.2">
      <c r="A268" s="195" t="s">
        <v>213</v>
      </c>
      <c r="B268" s="218" t="s">
        <v>666</v>
      </c>
      <c r="C268" s="200" t="s">
        <v>667</v>
      </c>
      <c r="D268" s="201" t="s">
        <v>668</v>
      </c>
      <c r="E268" s="201">
        <f>2*1</f>
        <v>2</v>
      </c>
      <c r="F268" s="202">
        <v>0.01</v>
      </c>
      <c r="G268" s="202">
        <f t="shared" si="13"/>
        <v>0.02</v>
      </c>
      <c r="H268" s="203" t="s">
        <v>126</v>
      </c>
      <c r="I268" s="204"/>
      <c r="J268" s="205"/>
      <c r="AN268" s="131">
        <v>4</v>
      </c>
    </row>
    <row r="269" spans="1:40" s="131" customFormat="1" outlineLevel="2" x14ac:dyDescent="0.2">
      <c r="A269" s="195" t="s">
        <v>213</v>
      </c>
      <c r="B269" s="218" t="s">
        <v>669</v>
      </c>
      <c r="C269" s="200" t="s">
        <v>670</v>
      </c>
      <c r="D269" s="201" t="s">
        <v>671</v>
      </c>
      <c r="E269" s="201">
        <f>1*1</f>
        <v>1</v>
      </c>
      <c r="F269" s="202">
        <v>0.24</v>
      </c>
      <c r="G269" s="202">
        <f t="shared" si="13"/>
        <v>0.24</v>
      </c>
      <c r="H269" s="203" t="s">
        <v>126</v>
      </c>
      <c r="I269" s="204"/>
      <c r="J269" s="205"/>
      <c r="AN269" s="131">
        <v>4</v>
      </c>
    </row>
    <row r="270" spans="1:40" s="131" customFormat="1" outlineLevel="2" x14ac:dyDescent="0.2">
      <c r="A270" s="195" t="s">
        <v>213</v>
      </c>
      <c r="B270" s="218" t="s">
        <v>672</v>
      </c>
      <c r="C270" s="200" t="s">
        <v>673</v>
      </c>
      <c r="D270" s="201" t="s">
        <v>299</v>
      </c>
      <c r="E270" s="201">
        <f>2*1</f>
        <v>2</v>
      </c>
      <c r="F270" s="202">
        <v>0.02</v>
      </c>
      <c r="G270" s="202">
        <f t="shared" si="13"/>
        <v>0.04</v>
      </c>
      <c r="H270" s="203" t="s">
        <v>126</v>
      </c>
      <c r="I270" s="204"/>
      <c r="J270" s="205"/>
      <c r="AN270" s="131">
        <v>4</v>
      </c>
    </row>
    <row r="271" spans="1:40" s="131" customFormat="1" collapsed="1" x14ac:dyDescent="0.2">
      <c r="A271" s="195" t="s">
        <v>237</v>
      </c>
      <c r="B271" s="222" t="s">
        <v>206</v>
      </c>
      <c r="C271" s="196" t="s">
        <v>853</v>
      </c>
      <c r="D271" s="197" t="s">
        <v>659</v>
      </c>
      <c r="E271" s="197">
        <v>1</v>
      </c>
      <c r="F271" s="197"/>
      <c r="G271" s="197"/>
      <c r="H271" s="195"/>
      <c r="I271" s="198" t="s">
        <v>842</v>
      </c>
      <c r="J271" s="199"/>
      <c r="AN271" s="131">
        <v>3</v>
      </c>
    </row>
    <row r="272" spans="1:40" s="131" customFormat="1" x14ac:dyDescent="0.2">
      <c r="A272" s="195" t="s">
        <v>213</v>
      </c>
      <c r="B272" s="222" t="s">
        <v>660</v>
      </c>
      <c r="C272" s="200" t="s">
        <v>661</v>
      </c>
      <c r="D272" s="201" t="s">
        <v>662</v>
      </c>
      <c r="E272" s="201">
        <v>1</v>
      </c>
      <c r="F272" s="202">
        <v>0.47</v>
      </c>
      <c r="G272" s="202">
        <f>F272*E272</f>
        <v>0.47</v>
      </c>
      <c r="H272" s="203" t="s">
        <v>126</v>
      </c>
      <c r="I272" s="198" t="s">
        <v>842</v>
      </c>
      <c r="J272" s="205"/>
      <c r="AN272" s="131">
        <v>4</v>
      </c>
    </row>
    <row r="273" spans="1:40" s="131" customFormat="1" x14ac:dyDescent="0.2">
      <c r="A273" s="195" t="s">
        <v>213</v>
      </c>
      <c r="B273" s="222" t="s">
        <v>663</v>
      </c>
      <c r="C273" s="200" t="s">
        <v>854</v>
      </c>
      <c r="D273" s="201" t="s">
        <v>665</v>
      </c>
      <c r="E273" s="201">
        <v>2</v>
      </c>
      <c r="F273" s="202">
        <v>0.86</v>
      </c>
      <c r="G273" s="202">
        <f>F273*E273</f>
        <v>1.72</v>
      </c>
      <c r="H273" s="203" t="s">
        <v>126</v>
      </c>
      <c r="I273" s="198" t="s">
        <v>842</v>
      </c>
      <c r="J273" s="205"/>
      <c r="AN273" s="131">
        <v>4</v>
      </c>
    </row>
    <row r="274" spans="1:40" s="131" customFormat="1" x14ac:dyDescent="0.2">
      <c r="A274" s="195" t="s">
        <v>213</v>
      </c>
      <c r="B274" s="222" t="s">
        <v>666</v>
      </c>
      <c r="C274" s="200" t="s">
        <v>670</v>
      </c>
      <c r="D274" s="201" t="s">
        <v>671</v>
      </c>
      <c r="E274" s="201">
        <v>1</v>
      </c>
      <c r="F274" s="202">
        <v>0.24</v>
      </c>
      <c r="G274" s="202">
        <f>F274*E274</f>
        <v>0.24</v>
      </c>
      <c r="H274" s="203" t="s">
        <v>126</v>
      </c>
      <c r="I274" s="198" t="s">
        <v>842</v>
      </c>
      <c r="J274" s="205"/>
      <c r="AN274" s="131">
        <v>4</v>
      </c>
    </row>
    <row r="275" spans="1:40" s="131" customFormat="1" x14ac:dyDescent="0.2">
      <c r="A275" s="195" t="s">
        <v>213</v>
      </c>
      <c r="B275" s="222" t="s">
        <v>669</v>
      </c>
      <c r="C275" s="200" t="s">
        <v>673</v>
      </c>
      <c r="D275" s="201" t="s">
        <v>299</v>
      </c>
      <c r="E275" s="201">
        <v>2</v>
      </c>
      <c r="F275" s="202">
        <v>0.02</v>
      </c>
      <c r="G275" s="202">
        <f>F275*E275</f>
        <v>0.04</v>
      </c>
      <c r="H275" s="203" t="s">
        <v>126</v>
      </c>
      <c r="I275" s="198" t="s">
        <v>842</v>
      </c>
      <c r="J275" s="205"/>
      <c r="AN275" s="131">
        <v>4</v>
      </c>
    </row>
    <row r="276" spans="1:40" s="131" customFormat="1" outlineLevel="1" x14ac:dyDescent="0.2">
      <c r="A276" s="195" t="s">
        <v>213</v>
      </c>
      <c r="B276" s="218" t="s">
        <v>207</v>
      </c>
      <c r="C276" s="208" t="s">
        <v>163</v>
      </c>
      <c r="D276" s="206" t="s">
        <v>164</v>
      </c>
      <c r="E276" s="206">
        <f>1*1</f>
        <v>1</v>
      </c>
      <c r="F276" s="209">
        <v>0.05</v>
      </c>
      <c r="G276" s="209">
        <f t="shared" si="13"/>
        <v>0.05</v>
      </c>
      <c r="H276" s="210">
        <v>1.4300999999999999</v>
      </c>
      <c r="I276" s="211"/>
      <c r="J276" s="212"/>
      <c r="AN276" s="131">
        <v>3</v>
      </c>
    </row>
    <row r="277" spans="1:40" s="131" customFormat="1" outlineLevel="1" x14ac:dyDescent="0.2">
      <c r="A277" s="195" t="s">
        <v>213</v>
      </c>
      <c r="B277" s="218" t="s">
        <v>208</v>
      </c>
      <c r="C277" s="208" t="s">
        <v>674</v>
      </c>
      <c r="D277" s="206" t="s">
        <v>675</v>
      </c>
      <c r="E277" s="206">
        <f>2*1</f>
        <v>2</v>
      </c>
      <c r="F277" s="209">
        <v>0.02</v>
      </c>
      <c r="G277" s="209">
        <f t="shared" si="13"/>
        <v>0.04</v>
      </c>
      <c r="H277" s="210">
        <v>1.4300999999999999</v>
      </c>
      <c r="I277" s="211"/>
      <c r="J277" s="212"/>
      <c r="AN277" s="131">
        <v>3</v>
      </c>
    </row>
    <row r="278" spans="1:40" s="131" customFormat="1" outlineLevel="1" x14ac:dyDescent="0.2">
      <c r="A278" s="195" t="s">
        <v>213</v>
      </c>
      <c r="B278" s="218" t="s">
        <v>209</v>
      </c>
      <c r="C278" s="208" t="s">
        <v>677</v>
      </c>
      <c r="D278" s="206" t="s">
        <v>678</v>
      </c>
      <c r="E278" s="206">
        <f>1*1</f>
        <v>1</v>
      </c>
      <c r="F278" s="209">
        <v>0.03</v>
      </c>
      <c r="G278" s="209">
        <f t="shared" si="13"/>
        <v>0.03</v>
      </c>
      <c r="H278" s="210">
        <v>1.4300999999999999</v>
      </c>
      <c r="I278" s="211"/>
      <c r="J278" s="212"/>
      <c r="AN278" s="131">
        <v>3</v>
      </c>
    </row>
    <row r="279" spans="1:40" s="131" customFormat="1" outlineLevel="1" x14ac:dyDescent="0.2">
      <c r="A279" s="195" t="s">
        <v>213</v>
      </c>
      <c r="B279" s="218" t="s">
        <v>210</v>
      </c>
      <c r="C279" s="208" t="s">
        <v>676</v>
      </c>
      <c r="D279" s="206" t="s">
        <v>852</v>
      </c>
      <c r="E279" s="206">
        <f>1*1</f>
        <v>1</v>
      </c>
      <c r="F279" s="209">
        <v>0.05</v>
      </c>
      <c r="G279" s="209">
        <f t="shared" ref="G279" si="14">F279*E279</f>
        <v>0.05</v>
      </c>
      <c r="H279" s="210">
        <v>1.4300999999999999</v>
      </c>
      <c r="I279" s="211" t="s">
        <v>851</v>
      </c>
      <c r="J279" s="212"/>
      <c r="AN279" s="131">
        <v>3</v>
      </c>
    </row>
    <row r="280" spans="1:40" s="131" customFormat="1" outlineLevel="1" x14ac:dyDescent="0.2">
      <c r="A280" s="195" t="s">
        <v>213</v>
      </c>
      <c r="B280" s="218" t="s">
        <v>211</v>
      </c>
      <c r="C280" s="208" t="s">
        <v>679</v>
      </c>
      <c r="D280" s="206" t="s">
        <v>680</v>
      </c>
      <c r="E280" s="206">
        <f>1*1</f>
        <v>1</v>
      </c>
      <c r="F280" s="209">
        <v>0.03</v>
      </c>
      <c r="G280" s="209">
        <f t="shared" si="13"/>
        <v>0.03</v>
      </c>
      <c r="H280" s="210">
        <v>1.4300999999999999</v>
      </c>
      <c r="I280" s="211"/>
      <c r="J280" s="212"/>
      <c r="AN280" s="131">
        <v>3</v>
      </c>
    </row>
    <row r="281" spans="1:40" s="131" customFormat="1" outlineLevel="1" x14ac:dyDescent="0.2">
      <c r="A281" s="195" t="s">
        <v>213</v>
      </c>
      <c r="B281" s="218" t="s">
        <v>212</v>
      </c>
      <c r="C281" s="208" t="s">
        <v>681</v>
      </c>
      <c r="D281" s="206" t="s">
        <v>682</v>
      </c>
      <c r="E281" s="206">
        <f>2*1</f>
        <v>2</v>
      </c>
      <c r="F281" s="209">
        <v>0.04</v>
      </c>
      <c r="G281" s="209">
        <f t="shared" si="13"/>
        <v>0.08</v>
      </c>
      <c r="H281" s="210">
        <v>1.4300999999999999</v>
      </c>
      <c r="I281" s="211"/>
      <c r="J281" s="212"/>
      <c r="AN281" s="131">
        <v>3</v>
      </c>
    </row>
    <row r="282" spans="1:40" s="131" customFormat="1" outlineLevel="1" x14ac:dyDescent="0.2">
      <c r="A282" s="195" t="s">
        <v>213</v>
      </c>
      <c r="B282" s="218" t="s">
        <v>357</v>
      </c>
      <c r="C282" s="208" t="s">
        <v>683</v>
      </c>
      <c r="D282" s="206" t="s">
        <v>684</v>
      </c>
      <c r="E282" s="206">
        <f>1*1</f>
        <v>1</v>
      </c>
      <c r="F282" s="209">
        <v>0.13</v>
      </c>
      <c r="G282" s="209">
        <f t="shared" si="13"/>
        <v>0.13</v>
      </c>
      <c r="H282" s="210">
        <v>1.4300999999999999</v>
      </c>
      <c r="I282" s="211"/>
      <c r="J282" s="212"/>
      <c r="AN282" s="131">
        <v>3</v>
      </c>
    </row>
    <row r="283" spans="1:40" s="131" customFormat="1" outlineLevel="1" x14ac:dyDescent="0.2">
      <c r="A283" s="195" t="s">
        <v>213</v>
      </c>
      <c r="B283" s="218" t="s">
        <v>415</v>
      </c>
      <c r="C283" s="208" t="s">
        <v>408</v>
      </c>
      <c r="D283" s="206" t="s">
        <v>409</v>
      </c>
      <c r="E283" s="206">
        <f>1*1</f>
        <v>1</v>
      </c>
      <c r="F283" s="209">
        <v>0.02</v>
      </c>
      <c r="G283" s="209">
        <f t="shared" si="13"/>
        <v>0.02</v>
      </c>
      <c r="H283" s="210">
        <v>1.4300999999999999</v>
      </c>
      <c r="I283" s="211"/>
      <c r="J283" s="212"/>
      <c r="AN283" s="131">
        <v>3</v>
      </c>
    </row>
    <row r="284" spans="1:40" s="131" customFormat="1" outlineLevel="1" x14ac:dyDescent="0.2">
      <c r="A284" s="195" t="s">
        <v>213</v>
      </c>
      <c r="B284" s="218" t="s">
        <v>416</v>
      </c>
      <c r="C284" s="208" t="s">
        <v>410</v>
      </c>
      <c r="D284" s="206" t="s">
        <v>411</v>
      </c>
      <c r="E284" s="206">
        <f>1*1</f>
        <v>1</v>
      </c>
      <c r="F284" s="209">
        <v>0.01</v>
      </c>
      <c r="G284" s="209">
        <f t="shared" si="13"/>
        <v>0.01</v>
      </c>
      <c r="H284" s="210">
        <v>1.4300999999999999</v>
      </c>
      <c r="I284" s="211"/>
      <c r="J284" s="212"/>
      <c r="AN284" s="131">
        <v>3</v>
      </c>
    </row>
    <row r="285" spans="1:40" s="131" customFormat="1" outlineLevel="1" x14ac:dyDescent="0.2">
      <c r="A285" s="195" t="s">
        <v>213</v>
      </c>
      <c r="B285" s="218" t="s">
        <v>685</v>
      </c>
      <c r="C285" s="208" t="s">
        <v>165</v>
      </c>
      <c r="D285" s="206" t="s">
        <v>166</v>
      </c>
      <c r="E285" s="206">
        <f>1*1</f>
        <v>1</v>
      </c>
      <c r="F285" s="209">
        <v>0.02</v>
      </c>
      <c r="G285" s="209">
        <f t="shared" si="13"/>
        <v>0.02</v>
      </c>
      <c r="H285" s="210">
        <v>1.4300999999999999</v>
      </c>
      <c r="I285" s="211"/>
      <c r="J285" s="212"/>
      <c r="AN285" s="131">
        <v>3</v>
      </c>
    </row>
    <row r="286" spans="1:40" s="131" customFormat="1" outlineLevel="1" x14ac:dyDescent="0.2">
      <c r="A286" s="195" t="s">
        <v>213</v>
      </c>
      <c r="B286" s="218" t="s">
        <v>686</v>
      </c>
      <c r="C286" s="208" t="s">
        <v>687</v>
      </c>
      <c r="D286" s="206" t="s">
        <v>688</v>
      </c>
      <c r="E286" s="206">
        <f>6*1</f>
        <v>6</v>
      </c>
      <c r="F286" s="209">
        <v>0</v>
      </c>
      <c r="G286" s="209">
        <f t="shared" si="13"/>
        <v>0</v>
      </c>
      <c r="H286" s="210" t="s">
        <v>167</v>
      </c>
      <c r="I286" s="211"/>
      <c r="J286" s="212"/>
      <c r="AN286" s="131">
        <v>3</v>
      </c>
    </row>
    <row r="287" spans="1:40" s="131" customFormat="1" outlineLevel="1" x14ac:dyDescent="0.2">
      <c r="A287" s="195" t="s">
        <v>213</v>
      </c>
      <c r="B287" s="218" t="s">
        <v>689</v>
      </c>
      <c r="C287" s="208" t="s">
        <v>690</v>
      </c>
      <c r="D287" s="206" t="s">
        <v>691</v>
      </c>
      <c r="E287" s="206">
        <f>4*1</f>
        <v>4</v>
      </c>
      <c r="F287" s="209">
        <v>0</v>
      </c>
      <c r="G287" s="209">
        <f t="shared" si="13"/>
        <v>0</v>
      </c>
      <c r="H287" s="210" t="s">
        <v>167</v>
      </c>
      <c r="I287" s="211"/>
      <c r="J287" s="212"/>
      <c r="AN287" s="131">
        <v>3</v>
      </c>
    </row>
    <row r="288" spans="1:40" s="131" customFormat="1" outlineLevel="1" x14ac:dyDescent="0.2">
      <c r="A288" s="195" t="s">
        <v>213</v>
      </c>
      <c r="B288" s="218" t="s">
        <v>692</v>
      </c>
      <c r="C288" s="208" t="s">
        <v>168</v>
      </c>
      <c r="D288" s="206" t="s">
        <v>169</v>
      </c>
      <c r="E288" s="206">
        <f>2*1</f>
        <v>2</v>
      </c>
      <c r="F288" s="209">
        <v>0</v>
      </c>
      <c r="G288" s="209">
        <f t="shared" si="13"/>
        <v>0</v>
      </c>
      <c r="H288" s="210" t="s">
        <v>167</v>
      </c>
      <c r="I288" s="211"/>
      <c r="J288" s="212"/>
      <c r="AN288" s="131">
        <v>3</v>
      </c>
    </row>
    <row r="289" spans="1:40" s="131" customFormat="1" outlineLevel="1" x14ac:dyDescent="0.2">
      <c r="A289" s="195" t="s">
        <v>213</v>
      </c>
      <c r="B289" s="218" t="s">
        <v>693</v>
      </c>
      <c r="C289" s="208" t="s">
        <v>694</v>
      </c>
      <c r="D289" s="206" t="s">
        <v>695</v>
      </c>
      <c r="E289" s="206">
        <f>2*1</f>
        <v>2</v>
      </c>
      <c r="F289" s="209">
        <v>0</v>
      </c>
      <c r="G289" s="209">
        <f t="shared" si="13"/>
        <v>0</v>
      </c>
      <c r="H289" s="210" t="s">
        <v>167</v>
      </c>
      <c r="I289" s="211"/>
      <c r="J289" s="212"/>
      <c r="AN289" s="131">
        <v>3</v>
      </c>
    </row>
    <row r="290" spans="1:40" s="131" customFormat="1" outlineLevel="1" x14ac:dyDescent="0.2">
      <c r="A290" s="195" t="s">
        <v>213</v>
      </c>
      <c r="B290" s="218" t="s">
        <v>699</v>
      </c>
      <c r="C290" s="208" t="s">
        <v>700</v>
      </c>
      <c r="D290" s="206" t="s">
        <v>701</v>
      </c>
      <c r="E290" s="206">
        <f>2*1</f>
        <v>2</v>
      </c>
      <c r="F290" s="209">
        <v>0</v>
      </c>
      <c r="G290" s="209">
        <f t="shared" si="13"/>
        <v>0</v>
      </c>
      <c r="H290" s="210" t="s">
        <v>167</v>
      </c>
      <c r="I290" s="211"/>
      <c r="J290" s="212"/>
      <c r="AN290" s="131">
        <v>3</v>
      </c>
    </row>
    <row r="291" spans="1:40" s="131" customFormat="1" outlineLevel="1" x14ac:dyDescent="0.2">
      <c r="A291" s="195" t="s">
        <v>237</v>
      </c>
      <c r="B291" s="218" t="s">
        <v>702</v>
      </c>
      <c r="C291" s="196" t="s">
        <v>703</v>
      </c>
      <c r="D291" s="197" t="s">
        <v>704</v>
      </c>
      <c r="E291" s="197">
        <f>1*1</f>
        <v>1</v>
      </c>
      <c r="F291" s="207"/>
      <c r="G291" s="207" t="str">
        <f>""</f>
        <v/>
      </c>
      <c r="H291" s="195"/>
      <c r="I291" s="198"/>
      <c r="J291" s="199"/>
      <c r="AN291" s="131">
        <v>3</v>
      </c>
    </row>
    <row r="292" spans="1:40" s="131" customFormat="1" outlineLevel="2" x14ac:dyDescent="0.2">
      <c r="A292" s="195" t="s">
        <v>213</v>
      </c>
      <c r="B292" s="218" t="s">
        <v>705</v>
      </c>
      <c r="C292" s="200" t="s">
        <v>706</v>
      </c>
      <c r="D292" s="201" t="s">
        <v>707</v>
      </c>
      <c r="E292" s="201">
        <f>1*1</f>
        <v>1</v>
      </c>
      <c r="F292" s="202">
        <v>1.06</v>
      </c>
      <c r="G292" s="202">
        <f>F292*E292</f>
        <v>1.06</v>
      </c>
      <c r="H292" s="203" t="s">
        <v>126</v>
      </c>
      <c r="I292" s="204"/>
      <c r="J292" s="205"/>
      <c r="AN292" s="131">
        <v>4</v>
      </c>
    </row>
    <row r="293" spans="1:40" s="131" customFormat="1" outlineLevel="2" x14ac:dyDescent="0.2">
      <c r="A293" s="195" t="s">
        <v>213</v>
      </c>
      <c r="B293" s="218" t="s">
        <v>708</v>
      </c>
      <c r="C293" s="200" t="s">
        <v>709</v>
      </c>
      <c r="D293" s="201" t="s">
        <v>710</v>
      </c>
      <c r="E293" s="201">
        <f>2*1</f>
        <v>2</v>
      </c>
      <c r="F293" s="202">
        <v>0</v>
      </c>
      <c r="G293" s="202">
        <f>F293*E293</f>
        <v>0</v>
      </c>
      <c r="H293" s="203" t="s">
        <v>126</v>
      </c>
      <c r="I293" s="204"/>
      <c r="J293" s="205"/>
      <c r="AN293" s="131">
        <v>4</v>
      </c>
    </row>
    <row r="294" spans="1:40" s="131" customFormat="1" outlineLevel="1" collapsed="1" x14ac:dyDescent="0.2">
      <c r="A294" s="195" t="s">
        <v>213</v>
      </c>
      <c r="B294" s="218" t="s">
        <v>714</v>
      </c>
      <c r="C294" s="208" t="s">
        <v>715</v>
      </c>
      <c r="D294" s="206" t="s">
        <v>716</v>
      </c>
      <c r="E294" s="206">
        <f>1*1</f>
        <v>1</v>
      </c>
      <c r="F294" s="209">
        <v>0.04</v>
      </c>
      <c r="G294" s="209">
        <f>F294*E294</f>
        <v>0.04</v>
      </c>
      <c r="H294" s="210">
        <v>1.4300999999999999</v>
      </c>
      <c r="I294" s="211" t="s">
        <v>851</v>
      </c>
      <c r="J294" s="212"/>
      <c r="AN294" s="131">
        <v>3</v>
      </c>
    </row>
    <row r="295" spans="1:40" s="131" customFormat="1" outlineLevel="1" x14ac:dyDescent="0.2">
      <c r="A295" s="195" t="s">
        <v>237</v>
      </c>
      <c r="B295" s="218" t="s">
        <v>717</v>
      </c>
      <c r="C295" s="196" t="s">
        <v>718</v>
      </c>
      <c r="D295" s="197" t="s">
        <v>719</v>
      </c>
      <c r="E295" s="197">
        <f>1*1</f>
        <v>1</v>
      </c>
      <c r="F295" s="207"/>
      <c r="G295" s="207" t="str">
        <f>""</f>
        <v/>
      </c>
      <c r="H295" s="195"/>
      <c r="I295" s="211" t="s">
        <v>851</v>
      </c>
      <c r="J295" s="199"/>
      <c r="AN295" s="131">
        <v>3</v>
      </c>
    </row>
    <row r="296" spans="1:40" s="131" customFormat="1" outlineLevel="2" x14ac:dyDescent="0.2">
      <c r="A296" s="195" t="s">
        <v>213</v>
      </c>
      <c r="B296" s="218" t="s">
        <v>720</v>
      </c>
      <c r="C296" s="200" t="s">
        <v>721</v>
      </c>
      <c r="D296" s="201" t="s">
        <v>722</v>
      </c>
      <c r="E296" s="201">
        <f>1*1</f>
        <v>1</v>
      </c>
      <c r="F296" s="202">
        <v>0.05</v>
      </c>
      <c r="G296" s="202">
        <f t="shared" ref="G296:G347" si="15">F296*E296</f>
        <v>0.05</v>
      </c>
      <c r="H296" s="203" t="s">
        <v>126</v>
      </c>
      <c r="I296" s="211" t="s">
        <v>851</v>
      </c>
      <c r="J296" s="205"/>
      <c r="AN296" s="131">
        <v>4</v>
      </c>
    </row>
    <row r="297" spans="1:40" s="131" customFormat="1" outlineLevel="2" x14ac:dyDescent="0.2">
      <c r="A297" s="195" t="s">
        <v>213</v>
      </c>
      <c r="B297" s="218" t="s">
        <v>723</v>
      </c>
      <c r="C297" s="200" t="s">
        <v>724</v>
      </c>
      <c r="D297" s="201" t="s">
        <v>725</v>
      </c>
      <c r="E297" s="201">
        <f>2*1</f>
        <v>2</v>
      </c>
      <c r="F297" s="202">
        <v>0.18</v>
      </c>
      <c r="G297" s="202">
        <f t="shared" si="15"/>
        <v>0.36</v>
      </c>
      <c r="H297" s="203" t="s">
        <v>126</v>
      </c>
      <c r="I297" s="211" t="s">
        <v>851</v>
      </c>
      <c r="J297" s="205"/>
      <c r="AN297" s="131">
        <v>4</v>
      </c>
    </row>
    <row r="298" spans="1:40" s="131" customFormat="1" outlineLevel="2" x14ac:dyDescent="0.2">
      <c r="A298" s="195" t="s">
        <v>213</v>
      </c>
      <c r="B298" s="218" t="s">
        <v>726</v>
      </c>
      <c r="C298" s="200" t="s">
        <v>727</v>
      </c>
      <c r="D298" s="201" t="s">
        <v>728</v>
      </c>
      <c r="E298" s="201">
        <f t="shared" ref="E298:E309" si="16">1*1</f>
        <v>1</v>
      </c>
      <c r="F298" s="202">
        <v>0.01</v>
      </c>
      <c r="G298" s="202">
        <f t="shared" si="15"/>
        <v>0.01</v>
      </c>
      <c r="H298" s="203" t="s">
        <v>126</v>
      </c>
      <c r="I298" s="211" t="s">
        <v>851</v>
      </c>
      <c r="J298" s="205"/>
      <c r="AN298" s="131">
        <v>4</v>
      </c>
    </row>
    <row r="299" spans="1:40" s="131" customFormat="1" collapsed="1" x14ac:dyDescent="0.2">
      <c r="A299" s="195" t="s">
        <v>237</v>
      </c>
      <c r="B299" s="222" t="s">
        <v>717</v>
      </c>
      <c r="C299" s="196" t="s">
        <v>872</v>
      </c>
      <c r="D299" s="197" t="s">
        <v>719</v>
      </c>
      <c r="E299" s="197">
        <v>1</v>
      </c>
      <c r="F299" s="197"/>
      <c r="G299" s="197"/>
      <c r="H299" s="195"/>
      <c r="I299" s="211" t="s">
        <v>876</v>
      </c>
      <c r="J299" s="199"/>
      <c r="AN299" s="131">
        <v>3</v>
      </c>
    </row>
    <row r="300" spans="1:40" s="131" customFormat="1" x14ac:dyDescent="0.2">
      <c r="A300" s="195" t="s">
        <v>213</v>
      </c>
      <c r="B300" s="222" t="s">
        <v>720</v>
      </c>
      <c r="C300" s="200" t="s">
        <v>873</v>
      </c>
      <c r="D300" s="201" t="s">
        <v>722</v>
      </c>
      <c r="E300" s="201">
        <v>1</v>
      </c>
      <c r="F300" s="202">
        <v>0.05</v>
      </c>
      <c r="G300" s="202">
        <f>F300*E300</f>
        <v>0.05</v>
      </c>
      <c r="H300" s="203">
        <v>1.4300999999999999</v>
      </c>
      <c r="I300" s="211" t="s">
        <v>876</v>
      </c>
      <c r="J300" s="205"/>
      <c r="AN300" s="131">
        <v>4</v>
      </c>
    </row>
    <row r="301" spans="1:40" s="131" customFormat="1" x14ac:dyDescent="0.2">
      <c r="A301" s="195" t="s">
        <v>213</v>
      </c>
      <c r="B301" s="222" t="s">
        <v>723</v>
      </c>
      <c r="C301" s="200" t="s">
        <v>874</v>
      </c>
      <c r="D301" s="201" t="s">
        <v>728</v>
      </c>
      <c r="E301" s="201">
        <v>1</v>
      </c>
      <c r="F301" s="202">
        <v>0.01</v>
      </c>
      <c r="G301" s="202">
        <f>F301*E301</f>
        <v>0.01</v>
      </c>
      <c r="H301" s="203">
        <v>1.4300999999999999</v>
      </c>
      <c r="I301" s="211" t="s">
        <v>876</v>
      </c>
      <c r="J301" s="205"/>
      <c r="AN301" s="131">
        <v>4</v>
      </c>
    </row>
    <row r="302" spans="1:40" s="131" customFormat="1" x14ac:dyDescent="0.2">
      <c r="A302" s="195" t="s">
        <v>213</v>
      </c>
      <c r="B302" s="222" t="s">
        <v>726</v>
      </c>
      <c r="C302" s="200" t="s">
        <v>875</v>
      </c>
      <c r="D302" s="201" t="s">
        <v>725</v>
      </c>
      <c r="E302" s="201">
        <v>2</v>
      </c>
      <c r="F302" s="202">
        <v>0.18</v>
      </c>
      <c r="G302" s="202">
        <f>F302*E302</f>
        <v>0.36</v>
      </c>
      <c r="H302" s="203">
        <v>1.4300999999999999</v>
      </c>
      <c r="I302" s="211" t="s">
        <v>876</v>
      </c>
      <c r="J302" s="205"/>
      <c r="AN302" s="131">
        <v>4</v>
      </c>
    </row>
    <row r="303" spans="1:40" s="131" customFormat="1" outlineLevel="1" x14ac:dyDescent="0.2">
      <c r="A303" s="195" t="s">
        <v>213</v>
      </c>
      <c r="B303" s="218" t="s">
        <v>729</v>
      </c>
      <c r="C303" s="208" t="s">
        <v>730</v>
      </c>
      <c r="D303" s="206" t="s">
        <v>731</v>
      </c>
      <c r="E303" s="206">
        <f t="shared" si="16"/>
        <v>1</v>
      </c>
      <c r="F303" s="209">
        <v>7.0000000000000007E-2</v>
      </c>
      <c r="G303" s="209">
        <f t="shared" si="15"/>
        <v>7.0000000000000007E-2</v>
      </c>
      <c r="H303" s="210" t="s">
        <v>126</v>
      </c>
      <c r="I303" s="211" t="s">
        <v>851</v>
      </c>
      <c r="J303" s="212"/>
      <c r="AN303" s="131">
        <v>3</v>
      </c>
    </row>
    <row r="304" spans="1:40" s="131" customFormat="1" outlineLevel="1" x14ac:dyDescent="0.2">
      <c r="A304" s="195" t="s">
        <v>213</v>
      </c>
      <c r="B304" s="218" t="s">
        <v>732</v>
      </c>
      <c r="C304" s="208" t="s">
        <v>733</v>
      </c>
      <c r="D304" s="206" t="s">
        <v>734</v>
      </c>
      <c r="E304" s="206">
        <f t="shared" si="16"/>
        <v>1</v>
      </c>
      <c r="F304" s="209">
        <v>0.05</v>
      </c>
      <c r="G304" s="209">
        <f t="shared" si="15"/>
        <v>0.05</v>
      </c>
      <c r="H304" s="210">
        <v>1.4300999999999999</v>
      </c>
      <c r="I304" s="211" t="s">
        <v>851</v>
      </c>
      <c r="J304" s="212"/>
      <c r="AN304" s="131">
        <v>3</v>
      </c>
    </row>
    <row r="305" spans="1:40" s="131" customFormat="1" outlineLevel="1" x14ac:dyDescent="0.2">
      <c r="A305" s="195" t="s">
        <v>162</v>
      </c>
      <c r="B305" s="218" t="s">
        <v>735</v>
      </c>
      <c r="C305" s="153" t="s">
        <v>736</v>
      </c>
      <c r="D305" s="154" t="s">
        <v>737</v>
      </c>
      <c r="E305" s="154">
        <f t="shared" si="16"/>
        <v>1</v>
      </c>
      <c r="F305" s="155">
        <v>0.1</v>
      </c>
      <c r="G305" s="155">
        <f t="shared" si="15"/>
        <v>0.1</v>
      </c>
      <c r="H305" s="156"/>
      <c r="I305" s="157"/>
      <c r="J305" s="158"/>
      <c r="AN305" s="131">
        <v>3</v>
      </c>
    </row>
    <row r="306" spans="1:40" s="131" customFormat="1" outlineLevel="1" x14ac:dyDescent="0.2">
      <c r="A306" s="195" t="s">
        <v>162</v>
      </c>
      <c r="B306" s="218" t="s">
        <v>738</v>
      </c>
      <c r="C306" s="153" t="s">
        <v>739</v>
      </c>
      <c r="D306" s="154" t="s">
        <v>740</v>
      </c>
      <c r="E306" s="154">
        <f t="shared" si="16"/>
        <v>1</v>
      </c>
      <c r="F306" s="155">
        <v>0.1</v>
      </c>
      <c r="G306" s="155">
        <f t="shared" si="15"/>
        <v>0.1</v>
      </c>
      <c r="H306" s="156"/>
      <c r="I306" s="157"/>
      <c r="J306" s="158"/>
      <c r="AN306" s="131">
        <v>3</v>
      </c>
    </row>
    <row r="307" spans="1:40" s="131" customFormat="1" ht="25.5" outlineLevel="1" x14ac:dyDescent="0.2">
      <c r="A307" s="195" t="s">
        <v>162</v>
      </c>
      <c r="B307" s="218" t="s">
        <v>741</v>
      </c>
      <c r="C307" s="153"/>
      <c r="D307" s="154" t="s">
        <v>985</v>
      </c>
      <c r="E307" s="154">
        <v>1</v>
      </c>
      <c r="F307" s="155">
        <v>0</v>
      </c>
      <c r="G307" s="155">
        <f t="shared" si="15"/>
        <v>0</v>
      </c>
      <c r="H307" s="156"/>
      <c r="I307" s="157" t="s">
        <v>986</v>
      </c>
      <c r="J307" s="163" t="s">
        <v>362</v>
      </c>
      <c r="AN307" s="131">
        <v>3</v>
      </c>
    </row>
    <row r="308" spans="1:40" s="131" customFormat="1" outlineLevel="1" x14ac:dyDescent="0.2">
      <c r="A308" s="195" t="s">
        <v>162</v>
      </c>
      <c r="B308" s="218" t="s">
        <v>741</v>
      </c>
      <c r="C308" s="153">
        <v>78254</v>
      </c>
      <c r="D308" s="154" t="s">
        <v>742</v>
      </c>
      <c r="E308" s="154">
        <f t="shared" si="16"/>
        <v>1</v>
      </c>
      <c r="F308" s="155">
        <v>1.47</v>
      </c>
      <c r="G308" s="155">
        <f t="shared" si="15"/>
        <v>1.47</v>
      </c>
      <c r="H308" s="156"/>
      <c r="I308" s="157"/>
      <c r="J308" s="237" t="s">
        <v>273</v>
      </c>
      <c r="AN308" s="131">
        <v>3</v>
      </c>
    </row>
    <row r="309" spans="1:40" s="131" customFormat="1" outlineLevel="1" x14ac:dyDescent="0.2">
      <c r="A309" s="195" t="s">
        <v>162</v>
      </c>
      <c r="B309" s="218" t="s">
        <v>743</v>
      </c>
      <c r="C309" s="153" t="s">
        <v>170</v>
      </c>
      <c r="D309" s="154" t="s">
        <v>171</v>
      </c>
      <c r="E309" s="154">
        <f t="shared" si="16"/>
        <v>1</v>
      </c>
      <c r="F309" s="155">
        <v>0.17</v>
      </c>
      <c r="G309" s="155">
        <f t="shared" si="15"/>
        <v>0.17</v>
      </c>
      <c r="H309" s="156"/>
      <c r="I309" s="157"/>
      <c r="J309" s="158" t="s">
        <v>965</v>
      </c>
      <c r="AN309" s="131">
        <v>3</v>
      </c>
    </row>
    <row r="310" spans="1:40" s="131" customFormat="1" outlineLevel="1" x14ac:dyDescent="0.2">
      <c r="A310" s="195" t="s">
        <v>162</v>
      </c>
      <c r="B310" s="218" t="s">
        <v>744</v>
      </c>
      <c r="C310" s="153" t="s">
        <v>745</v>
      </c>
      <c r="D310" s="154" t="s">
        <v>746</v>
      </c>
      <c r="E310" s="154">
        <f>2*1</f>
        <v>2</v>
      </c>
      <c r="F310" s="155">
        <v>1.93</v>
      </c>
      <c r="G310" s="155">
        <f t="shared" si="15"/>
        <v>3.86</v>
      </c>
      <c r="H310" s="156"/>
      <c r="I310" s="157"/>
      <c r="J310" s="158" t="s">
        <v>965</v>
      </c>
      <c r="AN310" s="131">
        <v>3</v>
      </c>
    </row>
    <row r="311" spans="1:40" s="131" customFormat="1" outlineLevel="1" x14ac:dyDescent="0.2">
      <c r="A311" s="195" t="s">
        <v>162</v>
      </c>
      <c r="B311" s="218" t="s">
        <v>747</v>
      </c>
      <c r="C311" s="153">
        <v>29771</v>
      </c>
      <c r="D311" s="154" t="s">
        <v>748</v>
      </c>
      <c r="E311" s="154">
        <f>2*1</f>
        <v>2</v>
      </c>
      <c r="F311" s="155">
        <v>0.1</v>
      </c>
      <c r="G311" s="155">
        <f t="shared" si="15"/>
        <v>0.2</v>
      </c>
      <c r="H311" s="156"/>
      <c r="I311" s="157" t="s">
        <v>848</v>
      </c>
      <c r="J311" s="158"/>
      <c r="AN311" s="131">
        <v>3</v>
      </c>
    </row>
    <row r="312" spans="1:40" s="131" customFormat="1" outlineLevel="1" x14ac:dyDescent="0.2">
      <c r="A312" s="195" t="s">
        <v>162</v>
      </c>
      <c r="B312" s="218" t="s">
        <v>749</v>
      </c>
      <c r="C312" s="153" t="s">
        <v>172</v>
      </c>
      <c r="D312" s="154" t="s">
        <v>173</v>
      </c>
      <c r="E312" s="154">
        <f>17*1</f>
        <v>17</v>
      </c>
      <c r="F312" s="155">
        <v>0</v>
      </c>
      <c r="G312" s="155">
        <f t="shared" si="15"/>
        <v>0</v>
      </c>
      <c r="H312" s="156"/>
      <c r="I312" s="157"/>
      <c r="J312" s="158"/>
      <c r="AN312" s="131">
        <v>3</v>
      </c>
    </row>
    <row r="313" spans="1:40" s="131" customFormat="1" collapsed="1" x14ac:dyDescent="0.2">
      <c r="A313" s="195" t="s">
        <v>213</v>
      </c>
      <c r="B313" s="222" t="s">
        <v>205</v>
      </c>
      <c r="C313" s="153" t="s">
        <v>946</v>
      </c>
      <c r="D313" s="154" t="s">
        <v>947</v>
      </c>
      <c r="E313" s="154">
        <v>8</v>
      </c>
      <c r="F313" s="155">
        <v>2.8051999999999998E-4</v>
      </c>
      <c r="G313" s="155">
        <f>F313*E313</f>
        <v>2.2441599999999998E-3</v>
      </c>
      <c r="H313" s="156"/>
      <c r="I313" s="157" t="s">
        <v>948</v>
      </c>
      <c r="J313" s="158"/>
      <c r="AN313" s="131">
        <v>3</v>
      </c>
    </row>
    <row r="314" spans="1:40" s="131" customFormat="1" outlineLevel="1" x14ac:dyDescent="0.2">
      <c r="A314" s="195" t="s">
        <v>162</v>
      </c>
      <c r="B314" s="218" t="s">
        <v>750</v>
      </c>
      <c r="C314" s="153" t="s">
        <v>751</v>
      </c>
      <c r="D314" s="154" t="s">
        <v>752</v>
      </c>
      <c r="E314" s="154">
        <f>6*1</f>
        <v>6</v>
      </c>
      <c r="F314" s="155">
        <v>0</v>
      </c>
      <c r="G314" s="155">
        <f t="shared" si="15"/>
        <v>0</v>
      </c>
      <c r="H314" s="156"/>
      <c r="I314" s="157"/>
      <c r="J314" s="158" t="s">
        <v>964</v>
      </c>
      <c r="AN314" s="131">
        <v>3</v>
      </c>
    </row>
    <row r="315" spans="1:40" s="131" customFormat="1" outlineLevel="1" x14ac:dyDescent="0.2">
      <c r="A315" s="195" t="s">
        <v>162</v>
      </c>
      <c r="B315" s="218" t="s">
        <v>753</v>
      </c>
      <c r="C315" s="153" t="s">
        <v>754</v>
      </c>
      <c r="D315" s="154" t="s">
        <v>755</v>
      </c>
      <c r="E315" s="154">
        <f>4*1</f>
        <v>4</v>
      </c>
      <c r="F315" s="155">
        <v>0.01</v>
      </c>
      <c r="G315" s="155">
        <f t="shared" si="15"/>
        <v>0.04</v>
      </c>
      <c r="H315" s="156"/>
      <c r="I315" s="157"/>
      <c r="J315" s="158" t="s">
        <v>964</v>
      </c>
      <c r="AN315" s="131">
        <v>3</v>
      </c>
    </row>
    <row r="316" spans="1:40" s="131" customFormat="1" outlineLevel="1" x14ac:dyDescent="0.2">
      <c r="A316" s="195" t="s">
        <v>162</v>
      </c>
      <c r="B316" s="218" t="s">
        <v>756</v>
      </c>
      <c r="C316" s="153" t="s">
        <v>757</v>
      </c>
      <c r="D316" s="154" t="s">
        <v>758</v>
      </c>
      <c r="E316" s="154">
        <f t="shared" ref="E316:E322" si="17">2*1</f>
        <v>2</v>
      </c>
      <c r="F316" s="155">
        <v>0</v>
      </c>
      <c r="G316" s="155">
        <f t="shared" si="15"/>
        <v>0</v>
      </c>
      <c r="H316" s="156"/>
      <c r="I316" s="157"/>
      <c r="J316" s="158" t="s">
        <v>964</v>
      </c>
      <c r="AN316" s="131">
        <v>3</v>
      </c>
    </row>
    <row r="317" spans="1:40" s="131" customFormat="1" outlineLevel="1" x14ac:dyDescent="0.2">
      <c r="A317" s="195" t="s">
        <v>162</v>
      </c>
      <c r="B317" s="218" t="s">
        <v>759</v>
      </c>
      <c r="C317" s="153" t="s">
        <v>138</v>
      </c>
      <c r="D317" s="154" t="s">
        <v>139</v>
      </c>
      <c r="E317" s="154">
        <f t="shared" si="17"/>
        <v>2</v>
      </c>
      <c r="F317" s="155">
        <v>0.02</v>
      </c>
      <c r="G317" s="155">
        <f t="shared" si="15"/>
        <v>0.04</v>
      </c>
      <c r="H317" s="156"/>
      <c r="I317" s="157"/>
      <c r="J317" s="158" t="s">
        <v>964</v>
      </c>
      <c r="AN317" s="131">
        <v>3</v>
      </c>
    </row>
    <row r="318" spans="1:40" s="131" customFormat="1" ht="13.5" customHeight="1" outlineLevel="1" x14ac:dyDescent="0.2">
      <c r="A318" s="195" t="s">
        <v>162</v>
      </c>
      <c r="B318" s="218" t="s">
        <v>759</v>
      </c>
      <c r="C318" s="153" t="s">
        <v>138</v>
      </c>
      <c r="D318" s="154" t="s">
        <v>139</v>
      </c>
      <c r="E318" s="154">
        <v>1</v>
      </c>
      <c r="F318" s="155">
        <v>0.02</v>
      </c>
      <c r="G318" s="155">
        <f t="shared" si="15"/>
        <v>0.02</v>
      </c>
      <c r="H318" s="156"/>
      <c r="I318" s="157" t="s">
        <v>842</v>
      </c>
      <c r="J318" s="158" t="s">
        <v>964</v>
      </c>
      <c r="AN318" s="131">
        <v>3</v>
      </c>
    </row>
    <row r="319" spans="1:40" s="131" customFormat="1" outlineLevel="1" x14ac:dyDescent="0.2">
      <c r="A319" s="195" t="s">
        <v>162</v>
      </c>
      <c r="B319" s="218" t="s">
        <v>760</v>
      </c>
      <c r="C319" s="153" t="s">
        <v>761</v>
      </c>
      <c r="D319" s="154" t="s">
        <v>762</v>
      </c>
      <c r="E319" s="154">
        <f t="shared" si="17"/>
        <v>2</v>
      </c>
      <c r="F319" s="155">
        <v>0</v>
      </c>
      <c r="G319" s="155">
        <f t="shared" si="15"/>
        <v>0</v>
      </c>
      <c r="H319" s="156"/>
      <c r="I319" s="157"/>
      <c r="J319" s="158" t="s">
        <v>971</v>
      </c>
      <c r="AN319" s="131">
        <v>3</v>
      </c>
    </row>
    <row r="320" spans="1:40" s="131" customFormat="1" outlineLevel="1" x14ac:dyDescent="0.2">
      <c r="A320" s="195" t="s">
        <v>162</v>
      </c>
      <c r="B320" s="218" t="s">
        <v>763</v>
      </c>
      <c r="C320" s="153" t="s">
        <v>764</v>
      </c>
      <c r="D320" s="154" t="s">
        <v>765</v>
      </c>
      <c r="E320" s="154">
        <f t="shared" si="17"/>
        <v>2</v>
      </c>
      <c r="F320" s="155">
        <v>0.14000000000000001</v>
      </c>
      <c r="G320" s="155">
        <f t="shared" si="15"/>
        <v>0.28000000000000003</v>
      </c>
      <c r="H320" s="156"/>
      <c r="I320" s="157"/>
      <c r="J320" s="158" t="s">
        <v>971</v>
      </c>
      <c r="AN320" s="131">
        <v>3</v>
      </c>
    </row>
    <row r="321" spans="1:40" s="131" customFormat="1" outlineLevel="1" x14ac:dyDescent="0.2">
      <c r="A321" s="195" t="s">
        <v>162</v>
      </c>
      <c r="B321" s="218" t="s">
        <v>766</v>
      </c>
      <c r="C321" s="153" t="s">
        <v>767</v>
      </c>
      <c r="D321" s="154" t="s">
        <v>768</v>
      </c>
      <c r="E321" s="154">
        <f t="shared" si="17"/>
        <v>2</v>
      </c>
      <c r="F321" s="155">
        <v>0</v>
      </c>
      <c r="G321" s="155">
        <f t="shared" si="15"/>
        <v>0</v>
      </c>
      <c r="H321" s="156" t="s">
        <v>167</v>
      </c>
      <c r="I321" s="157"/>
      <c r="J321" s="158"/>
      <c r="AN321" s="131">
        <v>3</v>
      </c>
    </row>
    <row r="322" spans="1:40" s="131" customFormat="1" outlineLevel="1" x14ac:dyDescent="0.2">
      <c r="A322" s="195" t="s">
        <v>162</v>
      </c>
      <c r="B322" s="218" t="s">
        <v>769</v>
      </c>
      <c r="C322" s="153" t="s">
        <v>770</v>
      </c>
      <c r="D322" s="154" t="s">
        <v>771</v>
      </c>
      <c r="E322" s="154">
        <f t="shared" si="17"/>
        <v>2</v>
      </c>
      <c r="F322" s="155">
        <v>0</v>
      </c>
      <c r="G322" s="155">
        <f t="shared" si="15"/>
        <v>0</v>
      </c>
      <c r="H322" s="156"/>
      <c r="I322" s="157"/>
      <c r="J322" s="158" t="s">
        <v>966</v>
      </c>
      <c r="AN322" s="131">
        <v>3</v>
      </c>
    </row>
    <row r="323" spans="1:40" s="131" customFormat="1" outlineLevel="1" x14ac:dyDescent="0.2">
      <c r="A323" s="195" t="s">
        <v>162</v>
      </c>
      <c r="B323" s="218" t="s">
        <v>772</v>
      </c>
      <c r="C323" s="153" t="s">
        <v>176</v>
      </c>
      <c r="D323" s="154" t="s">
        <v>177</v>
      </c>
      <c r="E323" s="154">
        <f>26*1</f>
        <v>26</v>
      </c>
      <c r="F323" s="155">
        <v>0</v>
      </c>
      <c r="G323" s="155">
        <f t="shared" si="15"/>
        <v>0</v>
      </c>
      <c r="H323" s="156"/>
      <c r="I323" s="157"/>
      <c r="J323" s="158" t="s">
        <v>966</v>
      </c>
      <c r="AN323" s="131">
        <v>3</v>
      </c>
    </row>
    <row r="324" spans="1:40" s="131" customFormat="1" outlineLevel="1" x14ac:dyDescent="0.2">
      <c r="A324" s="195" t="s">
        <v>162</v>
      </c>
      <c r="B324" s="218" t="s">
        <v>772</v>
      </c>
      <c r="C324" s="153" t="s">
        <v>176</v>
      </c>
      <c r="D324" s="154" t="s">
        <v>177</v>
      </c>
      <c r="E324" s="154">
        <f>24</f>
        <v>24</v>
      </c>
      <c r="F324" s="155">
        <v>0</v>
      </c>
      <c r="G324" s="155">
        <f t="shared" si="15"/>
        <v>0</v>
      </c>
      <c r="H324" s="156"/>
      <c r="I324" s="157" t="s">
        <v>842</v>
      </c>
      <c r="J324" s="158" t="s">
        <v>966</v>
      </c>
      <c r="AN324" s="131">
        <v>3</v>
      </c>
    </row>
    <row r="325" spans="1:40" s="131" customFormat="1" outlineLevel="1" x14ac:dyDescent="0.2">
      <c r="A325" s="195" t="s">
        <v>162</v>
      </c>
      <c r="B325" s="218" t="s">
        <v>773</v>
      </c>
      <c r="C325" s="153" t="s">
        <v>174</v>
      </c>
      <c r="D325" s="154" t="s">
        <v>175</v>
      </c>
      <c r="E325" s="154">
        <f>4*1</f>
        <v>4</v>
      </c>
      <c r="F325" s="155">
        <v>0</v>
      </c>
      <c r="G325" s="155">
        <f t="shared" si="15"/>
        <v>0</v>
      </c>
      <c r="H325" s="156"/>
      <c r="I325" s="157"/>
      <c r="J325" s="158" t="s">
        <v>966</v>
      </c>
      <c r="AN325" s="131">
        <v>3</v>
      </c>
    </row>
    <row r="326" spans="1:40" s="131" customFormat="1" outlineLevel="1" x14ac:dyDescent="0.2">
      <c r="A326" s="195" t="s">
        <v>162</v>
      </c>
      <c r="B326" s="218" t="s">
        <v>773</v>
      </c>
      <c r="C326" s="153" t="s">
        <v>174</v>
      </c>
      <c r="D326" s="154" t="s">
        <v>175</v>
      </c>
      <c r="E326" s="154">
        <v>2</v>
      </c>
      <c r="F326" s="155">
        <v>0</v>
      </c>
      <c r="G326" s="155">
        <f t="shared" si="15"/>
        <v>0</v>
      </c>
      <c r="H326" s="156"/>
      <c r="I326" s="157" t="s">
        <v>842</v>
      </c>
      <c r="J326" s="158" t="s">
        <v>966</v>
      </c>
      <c r="AN326" s="131">
        <v>3</v>
      </c>
    </row>
    <row r="327" spans="1:40" s="131" customFormat="1" outlineLevel="1" x14ac:dyDescent="0.2">
      <c r="A327" s="195" t="s">
        <v>162</v>
      </c>
      <c r="B327" s="218" t="s">
        <v>774</v>
      </c>
      <c r="C327" s="153" t="s">
        <v>178</v>
      </c>
      <c r="D327" s="154" t="s">
        <v>179</v>
      </c>
      <c r="E327" s="154">
        <f>2*1</f>
        <v>2</v>
      </c>
      <c r="F327" s="155">
        <v>0</v>
      </c>
      <c r="G327" s="155">
        <f t="shared" si="15"/>
        <v>0</v>
      </c>
      <c r="H327" s="156"/>
      <c r="I327" s="157"/>
      <c r="J327" s="158" t="s">
        <v>966</v>
      </c>
      <c r="AN327" s="131">
        <v>3</v>
      </c>
    </row>
    <row r="328" spans="1:40" s="131" customFormat="1" outlineLevel="1" x14ac:dyDescent="0.2">
      <c r="A328" s="195" t="s">
        <v>162</v>
      </c>
      <c r="B328" s="218" t="s">
        <v>775</v>
      </c>
      <c r="C328" s="153" t="s">
        <v>180</v>
      </c>
      <c r="D328" s="154" t="s">
        <v>776</v>
      </c>
      <c r="E328" s="154">
        <f>6*1</f>
        <v>6</v>
      </c>
      <c r="F328" s="155">
        <v>0</v>
      </c>
      <c r="G328" s="155">
        <f t="shared" si="15"/>
        <v>0</v>
      </c>
      <c r="H328" s="156"/>
      <c r="I328" s="157"/>
      <c r="J328" s="158"/>
      <c r="AN328" s="131">
        <v>3</v>
      </c>
    </row>
    <row r="329" spans="1:40" s="131" customFormat="1" outlineLevel="1" x14ac:dyDescent="0.2">
      <c r="A329" s="195" t="s">
        <v>162</v>
      </c>
      <c r="B329" s="218" t="s">
        <v>775</v>
      </c>
      <c r="C329" s="153" t="s">
        <v>180</v>
      </c>
      <c r="D329" s="154" t="s">
        <v>776</v>
      </c>
      <c r="E329" s="154">
        <v>4</v>
      </c>
      <c r="F329" s="155">
        <v>0</v>
      </c>
      <c r="G329" s="155">
        <f t="shared" si="15"/>
        <v>0</v>
      </c>
      <c r="H329" s="156"/>
      <c r="I329" s="157" t="s">
        <v>842</v>
      </c>
      <c r="J329" s="158"/>
      <c r="AN329" s="131">
        <v>3</v>
      </c>
    </row>
    <row r="330" spans="1:40" s="131" customFormat="1" outlineLevel="1" x14ac:dyDescent="0.2">
      <c r="A330" s="195" t="s">
        <v>162</v>
      </c>
      <c r="B330" s="218" t="s">
        <v>777</v>
      </c>
      <c r="C330" s="153" t="s">
        <v>180</v>
      </c>
      <c r="D330" s="154" t="s">
        <v>181</v>
      </c>
      <c r="E330" s="154">
        <f>20*1</f>
        <v>20</v>
      </c>
      <c r="F330" s="155">
        <v>0</v>
      </c>
      <c r="G330" s="155">
        <f t="shared" si="15"/>
        <v>0</v>
      </c>
      <c r="H330" s="156"/>
      <c r="I330" s="157"/>
      <c r="J330" s="158"/>
      <c r="AN330" s="131">
        <v>3</v>
      </c>
    </row>
    <row r="331" spans="1:40" s="131" customFormat="1" outlineLevel="1" x14ac:dyDescent="0.2">
      <c r="A331" s="195" t="s">
        <v>162</v>
      </c>
      <c r="B331" s="218" t="s">
        <v>777</v>
      </c>
      <c r="C331" s="153" t="s">
        <v>180</v>
      </c>
      <c r="D331" s="154" t="s">
        <v>181</v>
      </c>
      <c r="E331" s="154">
        <f>16</f>
        <v>16</v>
      </c>
      <c r="F331" s="155">
        <v>0</v>
      </c>
      <c r="G331" s="155">
        <f t="shared" si="15"/>
        <v>0</v>
      </c>
      <c r="H331" s="156"/>
      <c r="I331" s="157" t="s">
        <v>842</v>
      </c>
      <c r="J331" s="158"/>
      <c r="AN331" s="131">
        <v>3</v>
      </c>
    </row>
    <row r="332" spans="1:40" s="131" customFormat="1" outlineLevel="1" x14ac:dyDescent="0.2">
      <c r="A332" s="195" t="s">
        <v>162</v>
      </c>
      <c r="B332" s="218" t="s">
        <v>778</v>
      </c>
      <c r="C332" s="153" t="s">
        <v>183</v>
      </c>
      <c r="D332" s="154" t="s">
        <v>184</v>
      </c>
      <c r="E332" s="154">
        <f>10*1</f>
        <v>10</v>
      </c>
      <c r="F332" s="155">
        <v>0</v>
      </c>
      <c r="G332" s="155">
        <f t="shared" si="15"/>
        <v>0</v>
      </c>
      <c r="H332" s="156"/>
      <c r="I332" s="157"/>
      <c r="J332" s="158"/>
      <c r="AN332" s="131">
        <v>3</v>
      </c>
    </row>
    <row r="333" spans="1:40" s="131" customFormat="1" outlineLevel="1" x14ac:dyDescent="0.2">
      <c r="A333" s="195" t="s">
        <v>162</v>
      </c>
      <c r="B333" s="218" t="s">
        <v>779</v>
      </c>
      <c r="C333" s="153" t="s">
        <v>780</v>
      </c>
      <c r="D333" s="154" t="s">
        <v>781</v>
      </c>
      <c r="E333" s="154">
        <f>8*1</f>
        <v>8</v>
      </c>
      <c r="F333" s="155">
        <v>0</v>
      </c>
      <c r="G333" s="155">
        <f t="shared" si="15"/>
        <v>0</v>
      </c>
      <c r="H333" s="156"/>
      <c r="I333" s="157" t="s">
        <v>848</v>
      </c>
      <c r="J333" s="158"/>
      <c r="AN333" s="131">
        <v>3</v>
      </c>
    </row>
    <row r="334" spans="1:40" s="131" customFormat="1" outlineLevel="1" x14ac:dyDescent="0.2">
      <c r="A334" s="195" t="s">
        <v>162</v>
      </c>
      <c r="B334" s="218" t="s">
        <v>782</v>
      </c>
      <c r="C334" s="153" t="s">
        <v>783</v>
      </c>
      <c r="D334" s="154" t="s">
        <v>784</v>
      </c>
      <c r="E334" s="154">
        <f>6*1</f>
        <v>6</v>
      </c>
      <c r="F334" s="155">
        <v>0</v>
      </c>
      <c r="G334" s="155">
        <f t="shared" si="15"/>
        <v>0</v>
      </c>
      <c r="H334" s="156"/>
      <c r="I334" s="157"/>
      <c r="J334" s="158"/>
      <c r="AN334" s="131">
        <v>3</v>
      </c>
    </row>
    <row r="335" spans="1:40" s="131" customFormat="1" ht="25.5" outlineLevel="1" x14ac:dyDescent="0.2">
      <c r="A335" s="195" t="s">
        <v>162</v>
      </c>
      <c r="B335" s="218" t="s">
        <v>785</v>
      </c>
      <c r="C335" s="153" t="s">
        <v>786</v>
      </c>
      <c r="D335" s="154" t="s">
        <v>787</v>
      </c>
      <c r="E335" s="154">
        <f>37*1</f>
        <v>37</v>
      </c>
      <c r="F335" s="155">
        <v>0.01</v>
      </c>
      <c r="G335" s="155">
        <f t="shared" si="15"/>
        <v>0.37</v>
      </c>
      <c r="H335" s="156"/>
      <c r="I335" s="157" t="s">
        <v>945</v>
      </c>
      <c r="J335" s="158"/>
      <c r="AN335" s="131">
        <v>3</v>
      </c>
    </row>
    <row r="336" spans="1:40" s="131" customFormat="1" ht="25.5" outlineLevel="1" x14ac:dyDescent="0.2">
      <c r="A336" s="195" t="s">
        <v>162</v>
      </c>
      <c r="B336" s="218" t="s">
        <v>785</v>
      </c>
      <c r="C336" s="153" t="s">
        <v>786</v>
      </c>
      <c r="D336" s="154" t="s">
        <v>787</v>
      </c>
      <c r="E336" s="154">
        <f>29*1</f>
        <v>29</v>
      </c>
      <c r="F336" s="155">
        <v>0.01</v>
      </c>
      <c r="G336" s="155">
        <f t="shared" ref="G336" si="18">F336*E336</f>
        <v>0.28999999999999998</v>
      </c>
      <c r="H336" s="156"/>
      <c r="I336" s="157" t="s">
        <v>948</v>
      </c>
      <c r="J336" s="158"/>
      <c r="AN336" s="131">
        <v>3</v>
      </c>
    </row>
    <row r="337" spans="1:40" s="131" customFormat="1" outlineLevel="1" x14ac:dyDescent="0.2">
      <c r="A337" s="195" t="s">
        <v>162</v>
      </c>
      <c r="B337" s="218" t="s">
        <v>788</v>
      </c>
      <c r="C337" s="153" t="s">
        <v>214</v>
      </c>
      <c r="D337" s="154" t="s">
        <v>215</v>
      </c>
      <c r="E337" s="154">
        <f>6*1</f>
        <v>6</v>
      </c>
      <c r="F337" s="155">
        <v>0</v>
      </c>
      <c r="G337" s="155">
        <f t="shared" si="15"/>
        <v>0</v>
      </c>
      <c r="H337" s="156"/>
      <c r="I337" s="157"/>
      <c r="J337" s="158"/>
      <c r="AN337" s="131">
        <v>3</v>
      </c>
    </row>
    <row r="338" spans="1:40" s="131" customFormat="1" outlineLevel="1" x14ac:dyDescent="0.2">
      <c r="A338" s="195" t="s">
        <v>162</v>
      </c>
      <c r="B338" s="218" t="s">
        <v>789</v>
      </c>
      <c r="C338" s="153" t="s">
        <v>142</v>
      </c>
      <c r="D338" s="154" t="s">
        <v>790</v>
      </c>
      <c r="E338" s="154">
        <f>4*1</f>
        <v>4</v>
      </c>
      <c r="F338" s="155">
        <v>0.02</v>
      </c>
      <c r="G338" s="155">
        <f t="shared" si="15"/>
        <v>0.08</v>
      </c>
      <c r="H338" s="156"/>
      <c r="I338" s="157" t="s">
        <v>945</v>
      </c>
      <c r="J338" s="158"/>
      <c r="AN338" s="131">
        <v>3</v>
      </c>
    </row>
    <row r="339" spans="1:40" s="131" customFormat="1" outlineLevel="1" x14ac:dyDescent="0.2">
      <c r="A339" s="195" t="s">
        <v>162</v>
      </c>
      <c r="B339" s="218" t="s">
        <v>791</v>
      </c>
      <c r="C339" s="153" t="s">
        <v>792</v>
      </c>
      <c r="D339" s="154" t="s">
        <v>793</v>
      </c>
      <c r="E339" s="154">
        <f>4*1</f>
        <v>4</v>
      </c>
      <c r="F339" s="155">
        <v>0.01</v>
      </c>
      <c r="G339" s="155">
        <f t="shared" si="15"/>
        <v>0.04</v>
      </c>
      <c r="H339" s="156"/>
      <c r="I339" s="157" t="s">
        <v>851</v>
      </c>
      <c r="J339" s="158"/>
      <c r="AN339" s="131">
        <v>3</v>
      </c>
    </row>
    <row r="340" spans="1:40" s="131" customFormat="1" outlineLevel="1" x14ac:dyDescent="0.2">
      <c r="A340" s="195" t="s">
        <v>162</v>
      </c>
      <c r="B340" s="218" t="s">
        <v>794</v>
      </c>
      <c r="C340" s="153" t="s">
        <v>185</v>
      </c>
      <c r="D340" s="154" t="s">
        <v>186</v>
      </c>
      <c r="E340" s="154">
        <f>2*1</f>
        <v>2</v>
      </c>
      <c r="F340" s="155">
        <v>0</v>
      </c>
      <c r="G340" s="155">
        <f t="shared" si="15"/>
        <v>0</v>
      </c>
      <c r="H340" s="156"/>
      <c r="I340" s="157"/>
      <c r="J340" s="158"/>
      <c r="AN340" s="131">
        <v>3</v>
      </c>
    </row>
    <row r="341" spans="1:40" s="131" customFormat="1" outlineLevel="1" x14ac:dyDescent="0.2">
      <c r="A341" s="195" t="s">
        <v>162</v>
      </c>
      <c r="B341" s="218" t="s">
        <v>795</v>
      </c>
      <c r="C341" s="153" t="s">
        <v>148</v>
      </c>
      <c r="D341" s="154" t="s">
        <v>796</v>
      </c>
      <c r="E341" s="154">
        <f>4*1</f>
        <v>4</v>
      </c>
      <c r="F341" s="155">
        <v>0.01</v>
      </c>
      <c r="G341" s="155">
        <f t="shared" si="15"/>
        <v>0.04</v>
      </c>
      <c r="H341" s="156"/>
      <c r="I341" s="157" t="s">
        <v>945</v>
      </c>
      <c r="J341" s="158"/>
      <c r="AN341" s="131">
        <v>3</v>
      </c>
    </row>
    <row r="342" spans="1:40" s="131" customFormat="1" outlineLevel="1" x14ac:dyDescent="0.2">
      <c r="A342" s="195" t="s">
        <v>162</v>
      </c>
      <c r="B342" s="218" t="s">
        <v>797</v>
      </c>
      <c r="C342" s="153" t="s">
        <v>153</v>
      </c>
      <c r="D342" s="154" t="s">
        <v>154</v>
      </c>
      <c r="E342" s="154">
        <f>4*1</f>
        <v>4</v>
      </c>
      <c r="F342" s="155">
        <v>0</v>
      </c>
      <c r="G342" s="155">
        <f t="shared" si="15"/>
        <v>0</v>
      </c>
      <c r="H342" s="156"/>
      <c r="I342" s="157" t="s">
        <v>945</v>
      </c>
      <c r="J342" s="158"/>
      <c r="AN342" s="131">
        <v>3</v>
      </c>
    </row>
    <row r="343" spans="1:40" s="131" customFormat="1" outlineLevel="1" x14ac:dyDescent="0.2">
      <c r="A343" s="195" t="s">
        <v>162</v>
      </c>
      <c r="B343" s="218" t="s">
        <v>798</v>
      </c>
      <c r="C343" s="153" t="s">
        <v>153</v>
      </c>
      <c r="D343" s="154" t="s">
        <v>187</v>
      </c>
      <c r="E343" s="154">
        <f>37*1</f>
        <v>37</v>
      </c>
      <c r="F343" s="155">
        <v>0</v>
      </c>
      <c r="G343" s="155">
        <f t="shared" si="15"/>
        <v>0</v>
      </c>
      <c r="H343" s="156"/>
      <c r="I343" s="157" t="s">
        <v>945</v>
      </c>
      <c r="J343" s="158"/>
      <c r="AN343" s="131">
        <v>3</v>
      </c>
    </row>
    <row r="344" spans="1:40" s="131" customFormat="1" outlineLevel="1" x14ac:dyDescent="0.2">
      <c r="A344" s="195" t="s">
        <v>162</v>
      </c>
      <c r="B344" s="218" t="s">
        <v>798</v>
      </c>
      <c r="C344" s="153" t="s">
        <v>153</v>
      </c>
      <c r="D344" s="154" t="s">
        <v>187</v>
      </c>
      <c r="E344" s="154">
        <f>29*1</f>
        <v>29</v>
      </c>
      <c r="F344" s="155">
        <v>0</v>
      </c>
      <c r="G344" s="155">
        <f t="shared" ref="G344" si="19">F344*E344</f>
        <v>0</v>
      </c>
      <c r="H344" s="156"/>
      <c r="I344" s="157" t="s">
        <v>948</v>
      </c>
      <c r="J344" s="158"/>
      <c r="AN344" s="131">
        <v>3</v>
      </c>
    </row>
    <row r="345" spans="1:40" s="131" customFormat="1" x14ac:dyDescent="0.2">
      <c r="A345" s="195" t="s">
        <v>213</v>
      </c>
      <c r="B345" s="218" t="s">
        <v>97</v>
      </c>
      <c r="C345" s="208" t="s">
        <v>799</v>
      </c>
      <c r="D345" s="206" t="s">
        <v>127</v>
      </c>
      <c r="E345" s="206">
        <v>1</v>
      </c>
      <c r="F345" s="209">
        <v>0.61</v>
      </c>
      <c r="G345" s="209">
        <f t="shared" si="15"/>
        <v>0.61</v>
      </c>
      <c r="H345" s="210" t="s">
        <v>126</v>
      </c>
      <c r="I345" s="211"/>
      <c r="J345" s="212"/>
      <c r="AN345" s="131">
        <v>2</v>
      </c>
    </row>
    <row r="346" spans="1:40" s="131" customFormat="1" x14ac:dyDescent="0.2">
      <c r="A346" s="195" t="s">
        <v>213</v>
      </c>
      <c r="B346" s="218" t="s">
        <v>98</v>
      </c>
      <c r="C346" s="208" t="s">
        <v>800</v>
      </c>
      <c r="D346" s="206" t="s">
        <v>801</v>
      </c>
      <c r="E346" s="206">
        <v>1</v>
      </c>
      <c r="F346" s="209">
        <v>2.42</v>
      </c>
      <c r="G346" s="209">
        <f t="shared" si="15"/>
        <v>2.42</v>
      </c>
      <c r="H346" s="210" t="s">
        <v>126</v>
      </c>
      <c r="I346" s="211"/>
      <c r="J346" s="212"/>
      <c r="AN346" s="131">
        <v>2</v>
      </c>
    </row>
    <row r="347" spans="1:40" s="131" customFormat="1" x14ac:dyDescent="0.2">
      <c r="A347" s="195" t="s">
        <v>213</v>
      </c>
      <c r="B347" s="218" t="s">
        <v>99</v>
      </c>
      <c r="C347" s="208" t="s">
        <v>802</v>
      </c>
      <c r="D347" s="206" t="s">
        <v>355</v>
      </c>
      <c r="E347" s="206">
        <v>1</v>
      </c>
      <c r="F347" s="209">
        <v>0.56999999999999995</v>
      </c>
      <c r="G347" s="209">
        <f t="shared" si="15"/>
        <v>0.56999999999999995</v>
      </c>
      <c r="H347" s="210" t="s">
        <v>126</v>
      </c>
      <c r="I347" s="211"/>
      <c r="J347" s="212"/>
      <c r="AN347" s="131">
        <v>2</v>
      </c>
    </row>
    <row r="348" spans="1:40" s="131" customFormat="1" x14ac:dyDescent="0.2">
      <c r="A348" s="195" t="s">
        <v>237</v>
      </c>
      <c r="B348" s="218" t="s">
        <v>100</v>
      </c>
      <c r="C348" s="196" t="s">
        <v>803</v>
      </c>
      <c r="D348" s="197" t="s">
        <v>804</v>
      </c>
      <c r="E348" s="197">
        <v>1</v>
      </c>
      <c r="F348" s="207"/>
      <c r="G348" s="207" t="str">
        <f>""</f>
        <v/>
      </c>
      <c r="H348" s="195"/>
      <c r="I348" s="198" t="s">
        <v>847</v>
      </c>
      <c r="J348" s="199"/>
      <c r="AN348" s="131">
        <v>2</v>
      </c>
    </row>
    <row r="349" spans="1:40" s="131" customFormat="1" outlineLevel="1" x14ac:dyDescent="0.2">
      <c r="A349" s="195" t="s">
        <v>213</v>
      </c>
      <c r="B349" s="218" t="s">
        <v>805</v>
      </c>
      <c r="C349" s="200" t="s">
        <v>806</v>
      </c>
      <c r="D349" s="201" t="s">
        <v>807</v>
      </c>
      <c r="E349" s="201">
        <f>2*1</f>
        <v>2</v>
      </c>
      <c r="F349" s="202">
        <v>0.06</v>
      </c>
      <c r="G349" s="202">
        <f t="shared" ref="G349:G386" si="20">F349*E349</f>
        <v>0.12</v>
      </c>
      <c r="H349" s="203" t="s">
        <v>126</v>
      </c>
      <c r="I349" s="198" t="s">
        <v>847</v>
      </c>
      <c r="J349" s="205"/>
      <c r="AN349" s="131">
        <v>3</v>
      </c>
    </row>
    <row r="350" spans="1:40" s="131" customFormat="1" outlineLevel="1" x14ac:dyDescent="0.2">
      <c r="A350" s="195" t="s">
        <v>213</v>
      </c>
      <c r="B350" s="218" t="s">
        <v>808</v>
      </c>
      <c r="C350" s="200" t="s">
        <v>809</v>
      </c>
      <c r="D350" s="201" t="s">
        <v>810</v>
      </c>
      <c r="E350" s="201">
        <f>1*1</f>
        <v>1</v>
      </c>
      <c r="F350" s="202">
        <v>0.68</v>
      </c>
      <c r="G350" s="202">
        <f t="shared" si="20"/>
        <v>0.68</v>
      </c>
      <c r="H350" s="203" t="s">
        <v>126</v>
      </c>
      <c r="I350" s="198" t="s">
        <v>847</v>
      </c>
      <c r="J350" s="205"/>
      <c r="AN350" s="131">
        <v>3</v>
      </c>
    </row>
    <row r="351" spans="1:40" s="131" customFormat="1" collapsed="1" x14ac:dyDescent="0.2">
      <c r="A351" s="195" t="s">
        <v>237</v>
      </c>
      <c r="B351" s="222" t="s">
        <v>100</v>
      </c>
      <c r="C351" s="196" t="s">
        <v>868</v>
      </c>
      <c r="D351" s="197" t="s">
        <v>804</v>
      </c>
      <c r="E351" s="197">
        <v>1</v>
      </c>
      <c r="F351" s="197"/>
      <c r="G351" s="197"/>
      <c r="H351" s="195"/>
      <c r="I351" s="198" t="s">
        <v>871</v>
      </c>
      <c r="J351" s="199"/>
      <c r="AN351" s="131">
        <v>2</v>
      </c>
    </row>
    <row r="352" spans="1:40" s="131" customFormat="1" x14ac:dyDescent="0.2">
      <c r="A352" s="195" t="s">
        <v>213</v>
      </c>
      <c r="B352" s="222" t="s">
        <v>805</v>
      </c>
      <c r="C352" s="200" t="s">
        <v>869</v>
      </c>
      <c r="D352" s="201" t="s">
        <v>807</v>
      </c>
      <c r="E352" s="201">
        <v>2</v>
      </c>
      <c r="F352" s="202">
        <v>0.06</v>
      </c>
      <c r="G352" s="202">
        <f>F352*E352</f>
        <v>0.12</v>
      </c>
      <c r="H352" s="203">
        <v>1.4300999999999999</v>
      </c>
      <c r="I352" s="198" t="s">
        <v>871</v>
      </c>
      <c r="J352" s="205"/>
      <c r="AN352" s="131">
        <v>3</v>
      </c>
    </row>
    <row r="353" spans="1:40" s="131" customFormat="1" x14ac:dyDescent="0.2">
      <c r="A353" s="195" t="s">
        <v>213</v>
      </c>
      <c r="B353" s="222" t="s">
        <v>808</v>
      </c>
      <c r="C353" s="200" t="s">
        <v>870</v>
      </c>
      <c r="D353" s="201" t="s">
        <v>810</v>
      </c>
      <c r="E353" s="201">
        <v>1</v>
      </c>
      <c r="F353" s="202">
        <v>0.7</v>
      </c>
      <c r="G353" s="202">
        <f>F353*E353</f>
        <v>0.7</v>
      </c>
      <c r="H353" s="203">
        <v>1.4300999999999999</v>
      </c>
      <c r="I353" s="198" t="s">
        <v>871</v>
      </c>
      <c r="J353" s="205"/>
      <c r="AN353" s="131">
        <v>3</v>
      </c>
    </row>
    <row r="354" spans="1:40" s="131" customFormat="1" x14ac:dyDescent="0.2">
      <c r="A354" s="195" t="s">
        <v>213</v>
      </c>
      <c r="B354" s="218" t="s">
        <v>101</v>
      </c>
      <c r="C354" s="208" t="s">
        <v>811</v>
      </c>
      <c r="D354" s="206" t="s">
        <v>812</v>
      </c>
      <c r="E354" s="206">
        <v>1</v>
      </c>
      <c r="F354" s="209">
        <v>0.03</v>
      </c>
      <c r="G354" s="209">
        <f t="shared" si="20"/>
        <v>0.03</v>
      </c>
      <c r="H354" s="210">
        <v>1.4300999999999999</v>
      </c>
      <c r="I354" s="211"/>
      <c r="J354" s="212"/>
      <c r="AN354" s="131">
        <v>2</v>
      </c>
    </row>
    <row r="355" spans="1:40" s="131" customFormat="1" x14ac:dyDescent="0.2">
      <c r="A355" s="195" t="s">
        <v>213</v>
      </c>
      <c r="B355" s="218" t="s">
        <v>103</v>
      </c>
      <c r="C355" s="208" t="s">
        <v>813</v>
      </c>
      <c r="D355" s="206" t="s">
        <v>814</v>
      </c>
      <c r="E355" s="206">
        <v>1</v>
      </c>
      <c r="F355" s="209">
        <v>0.03</v>
      </c>
      <c r="G355" s="209">
        <f t="shared" si="20"/>
        <v>0.03</v>
      </c>
      <c r="H355" s="210">
        <v>1.4300999999999999</v>
      </c>
      <c r="I355" s="211"/>
      <c r="J355" s="212"/>
      <c r="AN355" s="131">
        <v>2</v>
      </c>
    </row>
    <row r="356" spans="1:40" s="131" customFormat="1" x14ac:dyDescent="0.2">
      <c r="A356" s="195" t="s">
        <v>162</v>
      </c>
      <c r="B356" s="218" t="s">
        <v>104</v>
      </c>
      <c r="C356" s="153" t="s">
        <v>815</v>
      </c>
      <c r="D356" s="154" t="s">
        <v>816</v>
      </c>
      <c r="E356" s="154">
        <v>1</v>
      </c>
      <c r="F356" s="155">
        <v>1.79</v>
      </c>
      <c r="G356" s="155">
        <f t="shared" si="20"/>
        <v>1.79</v>
      </c>
      <c r="H356" s="156"/>
      <c r="I356" s="157"/>
      <c r="J356" s="237" t="s">
        <v>273</v>
      </c>
      <c r="AN356" s="131">
        <v>2</v>
      </c>
    </row>
    <row r="357" spans="1:40" s="131" customFormat="1" x14ac:dyDescent="0.2">
      <c r="A357" s="195" t="s">
        <v>162</v>
      </c>
      <c r="B357" s="218" t="s">
        <v>105</v>
      </c>
      <c r="C357" s="153">
        <v>42703</v>
      </c>
      <c r="D357" s="154" t="s">
        <v>817</v>
      </c>
      <c r="E357" s="154">
        <v>1</v>
      </c>
      <c r="F357" s="155">
        <v>0.01</v>
      </c>
      <c r="G357" s="155">
        <f t="shared" si="20"/>
        <v>0.01</v>
      </c>
      <c r="H357" s="156" t="s">
        <v>167</v>
      </c>
      <c r="I357" s="157" t="s">
        <v>848</v>
      </c>
      <c r="J357" s="227" t="s">
        <v>972</v>
      </c>
      <c r="AN357" s="131">
        <v>2</v>
      </c>
    </row>
    <row r="358" spans="1:40" s="131" customFormat="1" x14ac:dyDescent="0.2">
      <c r="A358" s="195" t="s">
        <v>162</v>
      </c>
      <c r="B358" s="218" t="s">
        <v>106</v>
      </c>
      <c r="C358" s="153">
        <v>74296</v>
      </c>
      <c r="D358" s="154" t="s">
        <v>128</v>
      </c>
      <c r="E358" s="154">
        <v>1</v>
      </c>
      <c r="F358" s="155">
        <v>0.05</v>
      </c>
      <c r="G358" s="155">
        <f t="shared" si="20"/>
        <v>0.05</v>
      </c>
      <c r="H358" s="156"/>
      <c r="I358" s="198" t="s">
        <v>844</v>
      </c>
      <c r="J358" s="237" t="s">
        <v>273</v>
      </c>
      <c r="AN358" s="131">
        <v>2</v>
      </c>
    </row>
    <row r="359" spans="1:40" s="131" customFormat="1" x14ac:dyDescent="0.2">
      <c r="A359" s="195" t="s">
        <v>162</v>
      </c>
      <c r="B359" s="218" t="s">
        <v>107</v>
      </c>
      <c r="C359" s="153">
        <v>74297</v>
      </c>
      <c r="D359" s="154" t="s">
        <v>129</v>
      </c>
      <c r="E359" s="154">
        <v>1</v>
      </c>
      <c r="F359" s="155">
        <v>0.05</v>
      </c>
      <c r="G359" s="155">
        <f t="shared" si="20"/>
        <v>0.05</v>
      </c>
      <c r="H359" s="156"/>
      <c r="I359" s="198" t="s">
        <v>844</v>
      </c>
      <c r="J359" s="237" t="s">
        <v>273</v>
      </c>
      <c r="AN359" s="131">
        <v>2</v>
      </c>
    </row>
    <row r="360" spans="1:40" s="131" customFormat="1" x14ac:dyDescent="0.2">
      <c r="A360" s="195" t="s">
        <v>162</v>
      </c>
      <c r="B360" s="218" t="s">
        <v>108</v>
      </c>
      <c r="C360" s="153" t="s">
        <v>818</v>
      </c>
      <c r="D360" s="154" t="s">
        <v>819</v>
      </c>
      <c r="E360" s="154">
        <v>1</v>
      </c>
      <c r="F360" s="155">
        <v>0.1</v>
      </c>
      <c r="G360" s="155">
        <f t="shared" si="20"/>
        <v>0.1</v>
      </c>
      <c r="H360" s="156"/>
      <c r="I360" s="157"/>
      <c r="J360" s="158" t="s">
        <v>968</v>
      </c>
      <c r="AN360" s="131">
        <v>2</v>
      </c>
    </row>
    <row r="361" spans="1:40" s="131" customFormat="1" x14ac:dyDescent="0.2">
      <c r="A361" s="195" t="s">
        <v>162</v>
      </c>
      <c r="B361" s="218" t="s">
        <v>109</v>
      </c>
      <c r="C361" s="153" t="s">
        <v>130</v>
      </c>
      <c r="D361" s="154" t="s">
        <v>131</v>
      </c>
      <c r="E361" s="154">
        <v>2</v>
      </c>
      <c r="F361" s="155">
        <v>0</v>
      </c>
      <c r="G361" s="155">
        <f t="shared" si="20"/>
        <v>0</v>
      </c>
      <c r="H361" s="156"/>
      <c r="I361" s="157"/>
      <c r="J361" s="158"/>
      <c r="AN361" s="131">
        <v>2</v>
      </c>
    </row>
    <row r="362" spans="1:40" s="131" customFormat="1" x14ac:dyDescent="0.2">
      <c r="A362" s="195" t="s">
        <v>162</v>
      </c>
      <c r="B362" s="218" t="s">
        <v>110</v>
      </c>
      <c r="C362" s="153" t="s">
        <v>820</v>
      </c>
      <c r="D362" s="154" t="s">
        <v>136</v>
      </c>
      <c r="E362" s="154">
        <v>4</v>
      </c>
      <c r="F362" s="155">
        <v>0</v>
      </c>
      <c r="G362" s="155">
        <f t="shared" si="20"/>
        <v>0</v>
      </c>
      <c r="H362" s="156"/>
      <c r="I362" s="157"/>
      <c r="J362" s="158" t="s">
        <v>969</v>
      </c>
      <c r="AN362" s="131">
        <v>2</v>
      </c>
    </row>
    <row r="363" spans="1:40" s="131" customFormat="1" x14ac:dyDescent="0.2">
      <c r="A363" s="195" t="s">
        <v>162</v>
      </c>
      <c r="B363" s="218" t="s">
        <v>111</v>
      </c>
      <c r="C363" s="153" t="s">
        <v>132</v>
      </c>
      <c r="D363" s="154" t="s">
        <v>133</v>
      </c>
      <c r="E363" s="154">
        <v>8</v>
      </c>
      <c r="F363" s="155">
        <v>0</v>
      </c>
      <c r="G363" s="155">
        <f t="shared" si="20"/>
        <v>0</v>
      </c>
      <c r="H363" s="156"/>
      <c r="I363" s="157"/>
      <c r="J363" s="158" t="s">
        <v>966</v>
      </c>
      <c r="AN363" s="131">
        <v>2</v>
      </c>
    </row>
    <row r="364" spans="1:40" s="131" customFormat="1" x14ac:dyDescent="0.2">
      <c r="A364" s="195" t="s">
        <v>162</v>
      </c>
      <c r="B364" s="218" t="s">
        <v>112</v>
      </c>
      <c r="C364" s="153" t="s">
        <v>134</v>
      </c>
      <c r="D364" s="154" t="s">
        <v>133</v>
      </c>
      <c r="E364" s="154">
        <v>2</v>
      </c>
      <c r="F364" s="155">
        <v>0</v>
      </c>
      <c r="G364" s="155">
        <f t="shared" si="20"/>
        <v>0</v>
      </c>
      <c r="H364" s="156"/>
      <c r="I364" s="157"/>
      <c r="J364" s="158" t="s">
        <v>966</v>
      </c>
      <c r="AN364" s="131">
        <v>2</v>
      </c>
    </row>
    <row r="365" spans="1:40" s="131" customFormat="1" x14ac:dyDescent="0.2">
      <c r="A365" s="195" t="s">
        <v>162</v>
      </c>
      <c r="B365" s="218" t="s">
        <v>113</v>
      </c>
      <c r="C365" s="153" t="s">
        <v>135</v>
      </c>
      <c r="D365" s="154" t="s">
        <v>133</v>
      </c>
      <c r="E365" s="154">
        <v>12</v>
      </c>
      <c r="F365" s="155">
        <v>0</v>
      </c>
      <c r="G365" s="155">
        <f t="shared" si="20"/>
        <v>0</v>
      </c>
      <c r="H365" s="156"/>
      <c r="I365" s="198" t="s">
        <v>844</v>
      </c>
      <c r="J365" s="158" t="s">
        <v>966</v>
      </c>
      <c r="AN365" s="131">
        <v>2</v>
      </c>
    </row>
    <row r="366" spans="1:40" s="131" customFormat="1" x14ac:dyDescent="0.2">
      <c r="A366" s="195" t="s">
        <v>162</v>
      </c>
      <c r="B366" s="218" t="s">
        <v>114</v>
      </c>
      <c r="C366" s="153" t="s">
        <v>137</v>
      </c>
      <c r="D366" s="154" t="s">
        <v>137</v>
      </c>
      <c r="E366" s="154">
        <v>4</v>
      </c>
      <c r="F366" s="155">
        <v>0.35</v>
      </c>
      <c r="G366" s="155">
        <f t="shared" si="20"/>
        <v>1.4</v>
      </c>
      <c r="H366" s="156"/>
      <c r="I366" s="157"/>
      <c r="J366" s="158" t="s">
        <v>970</v>
      </c>
      <c r="AN366" s="131">
        <v>2</v>
      </c>
    </row>
    <row r="367" spans="1:40" s="131" customFormat="1" x14ac:dyDescent="0.2">
      <c r="A367" s="195" t="s">
        <v>162</v>
      </c>
      <c r="B367" s="218" t="s">
        <v>115</v>
      </c>
      <c r="C367" s="153" t="s">
        <v>138</v>
      </c>
      <c r="D367" s="154" t="s">
        <v>139</v>
      </c>
      <c r="E367" s="154">
        <v>2</v>
      </c>
      <c r="F367" s="155">
        <v>0.03</v>
      </c>
      <c r="G367" s="155">
        <f t="shared" si="20"/>
        <v>0.06</v>
      </c>
      <c r="H367" s="156"/>
      <c r="I367" s="157" t="s">
        <v>949</v>
      </c>
      <c r="J367" s="158" t="s">
        <v>964</v>
      </c>
      <c r="AN367" s="131">
        <v>2</v>
      </c>
    </row>
    <row r="368" spans="1:40" s="131" customFormat="1" x14ac:dyDescent="0.2">
      <c r="A368" s="195" t="s">
        <v>162</v>
      </c>
      <c r="B368" s="218" t="s">
        <v>116</v>
      </c>
      <c r="C368" s="153" t="s">
        <v>140</v>
      </c>
      <c r="D368" s="154" t="s">
        <v>141</v>
      </c>
      <c r="E368" s="154">
        <v>2</v>
      </c>
      <c r="F368" s="155">
        <v>0.03</v>
      </c>
      <c r="G368" s="155">
        <f t="shared" si="20"/>
        <v>0.06</v>
      </c>
      <c r="H368" s="156"/>
      <c r="I368" s="157"/>
      <c r="J368" s="158"/>
      <c r="AN368" s="131">
        <v>2</v>
      </c>
    </row>
    <row r="369" spans="1:40" s="131" customFormat="1" x14ac:dyDescent="0.2">
      <c r="A369" s="195" t="s">
        <v>162</v>
      </c>
      <c r="B369" s="218" t="s">
        <v>117</v>
      </c>
      <c r="C369" s="153" t="s">
        <v>378</v>
      </c>
      <c r="D369" s="154" t="s">
        <v>821</v>
      </c>
      <c r="E369" s="154">
        <v>4</v>
      </c>
      <c r="F369" s="155">
        <v>0.01</v>
      </c>
      <c r="G369" s="155">
        <f t="shared" si="20"/>
        <v>0.04</v>
      </c>
      <c r="H369" s="156"/>
      <c r="I369" s="157" t="s">
        <v>844</v>
      </c>
      <c r="J369" s="158"/>
      <c r="AN369" s="131">
        <v>2</v>
      </c>
    </row>
    <row r="370" spans="1:40" x14ac:dyDescent="0.2">
      <c r="A370" s="224" t="s">
        <v>162</v>
      </c>
      <c r="B370" s="218" t="s">
        <v>117</v>
      </c>
      <c r="C370" s="153" t="s">
        <v>962</v>
      </c>
      <c r="D370" s="154" t="s">
        <v>963</v>
      </c>
      <c r="E370" s="154">
        <v>4</v>
      </c>
      <c r="F370" s="155">
        <v>0.01</v>
      </c>
      <c r="G370" s="155">
        <f t="shared" si="20"/>
        <v>0.04</v>
      </c>
      <c r="H370" s="156"/>
      <c r="I370" s="157" t="s">
        <v>859</v>
      </c>
      <c r="J370" s="158" t="s">
        <v>964</v>
      </c>
      <c r="K370" s="60"/>
      <c r="L370" s="24"/>
      <c r="M370" s="25"/>
      <c r="N370" s="132"/>
      <c r="O370" s="26"/>
      <c r="P370" s="45"/>
      <c r="Q370" s="34"/>
      <c r="R370" s="30"/>
      <c r="S370" s="36"/>
      <c r="T370" s="31"/>
      <c r="U370" s="23"/>
      <c r="V370" s="133"/>
      <c r="W370" s="133"/>
      <c r="X370" s="133"/>
      <c r="Y370" s="133"/>
      <c r="Z370" s="133"/>
      <c r="AA370" s="133"/>
      <c r="AB370" s="133"/>
      <c r="AC370" s="133"/>
      <c r="AD370" s="133"/>
      <c r="AE370" s="133"/>
      <c r="AF370" s="133"/>
      <c r="AG370" s="151"/>
      <c r="AH370" s="151"/>
      <c r="AI370" s="151"/>
      <c r="AJ370" s="151"/>
      <c r="AK370" s="151"/>
      <c r="AL370" s="151"/>
      <c r="AM370" s="152"/>
      <c r="AN370" s="131">
        <v>2</v>
      </c>
    </row>
    <row r="371" spans="1:40" s="131" customFormat="1" x14ac:dyDescent="0.2">
      <c r="A371" s="195" t="s">
        <v>162</v>
      </c>
      <c r="B371" s="218" t="s">
        <v>118</v>
      </c>
      <c r="C371" s="153" t="s">
        <v>180</v>
      </c>
      <c r="D371" s="154" t="s">
        <v>776</v>
      </c>
      <c r="E371" s="154">
        <v>4</v>
      </c>
      <c r="F371" s="155">
        <v>0</v>
      </c>
      <c r="G371" s="155">
        <f t="shared" si="20"/>
        <v>0</v>
      </c>
      <c r="H371" s="156"/>
      <c r="I371" s="157"/>
      <c r="J371" s="158"/>
      <c r="AN371" s="131">
        <v>2</v>
      </c>
    </row>
    <row r="372" spans="1:40" s="131" customFormat="1" ht="25.5" x14ac:dyDescent="0.2">
      <c r="A372" s="195" t="s">
        <v>162</v>
      </c>
      <c r="B372" s="218" t="s">
        <v>155</v>
      </c>
      <c r="C372" s="153" t="s">
        <v>144</v>
      </c>
      <c r="D372" s="154" t="s">
        <v>145</v>
      </c>
      <c r="E372" s="154">
        <v>4</v>
      </c>
      <c r="F372" s="155">
        <v>0.12</v>
      </c>
      <c r="G372" s="155">
        <f t="shared" si="20"/>
        <v>0.48</v>
      </c>
      <c r="H372" s="156">
        <v>1.4300999999999999</v>
      </c>
      <c r="I372" s="157" t="s">
        <v>949</v>
      </c>
      <c r="J372" s="158" t="s">
        <v>971</v>
      </c>
      <c r="AN372" s="131">
        <v>2</v>
      </c>
    </row>
    <row r="373" spans="1:40" s="131" customFormat="1" ht="25.5" x14ac:dyDescent="0.2">
      <c r="A373" s="195" t="s">
        <v>162</v>
      </c>
      <c r="B373" s="218" t="s">
        <v>156</v>
      </c>
      <c r="C373" s="153" t="s">
        <v>822</v>
      </c>
      <c r="D373" s="154" t="s">
        <v>787</v>
      </c>
      <c r="E373" s="154">
        <v>4</v>
      </c>
      <c r="F373" s="155">
        <v>0.03</v>
      </c>
      <c r="G373" s="155">
        <f t="shared" si="20"/>
        <v>0.12</v>
      </c>
      <c r="H373" s="156"/>
      <c r="I373" s="198" t="s">
        <v>844</v>
      </c>
      <c r="J373" s="158"/>
      <c r="AN373" s="131">
        <v>2</v>
      </c>
    </row>
    <row r="374" spans="1:40" s="131" customFormat="1" ht="25.5" x14ac:dyDescent="0.2">
      <c r="A374" s="195" t="s">
        <v>162</v>
      </c>
      <c r="B374" s="218" t="s">
        <v>157</v>
      </c>
      <c r="C374" s="153" t="s">
        <v>823</v>
      </c>
      <c r="D374" s="154" t="s">
        <v>787</v>
      </c>
      <c r="E374" s="154">
        <v>4</v>
      </c>
      <c r="F374" s="155">
        <v>0.02</v>
      </c>
      <c r="G374" s="155">
        <f t="shared" si="20"/>
        <v>0.08</v>
      </c>
      <c r="H374" s="156"/>
      <c r="I374" s="198" t="s">
        <v>844</v>
      </c>
      <c r="J374" s="158"/>
      <c r="AN374" s="131">
        <v>2</v>
      </c>
    </row>
    <row r="375" spans="1:40" s="131" customFormat="1" ht="25.5" x14ac:dyDescent="0.2">
      <c r="A375" s="195" t="s">
        <v>162</v>
      </c>
      <c r="B375" s="218" t="s">
        <v>158</v>
      </c>
      <c r="C375" s="153" t="s">
        <v>824</v>
      </c>
      <c r="D375" s="154" t="s">
        <v>825</v>
      </c>
      <c r="E375" s="154">
        <v>6</v>
      </c>
      <c r="F375" s="155">
        <v>0.01</v>
      </c>
      <c r="G375" s="155">
        <f t="shared" si="20"/>
        <v>0.06</v>
      </c>
      <c r="H375" s="156"/>
      <c r="I375" s="157"/>
      <c r="J375" s="158"/>
      <c r="AN375" s="131">
        <v>2</v>
      </c>
    </row>
    <row r="376" spans="1:40" s="131" customFormat="1" ht="25.5" x14ac:dyDescent="0.2">
      <c r="A376" s="195" t="s">
        <v>162</v>
      </c>
      <c r="B376" s="218" t="s">
        <v>159</v>
      </c>
      <c r="C376" s="153" t="s">
        <v>826</v>
      </c>
      <c r="D376" s="154" t="s">
        <v>787</v>
      </c>
      <c r="E376" s="154">
        <v>6</v>
      </c>
      <c r="F376" s="155">
        <v>0</v>
      </c>
      <c r="G376" s="155">
        <f t="shared" si="20"/>
        <v>0</v>
      </c>
      <c r="H376" s="156"/>
      <c r="I376" s="157"/>
      <c r="J376" s="158"/>
      <c r="AN376" s="131">
        <v>2</v>
      </c>
    </row>
    <row r="377" spans="1:40" s="131" customFormat="1" ht="25.5" x14ac:dyDescent="0.2">
      <c r="A377" s="195" t="s">
        <v>162</v>
      </c>
      <c r="B377" s="218" t="s">
        <v>159</v>
      </c>
      <c r="C377" s="153" t="s">
        <v>826</v>
      </c>
      <c r="D377" s="154" t="s">
        <v>787</v>
      </c>
      <c r="E377" s="154">
        <v>4</v>
      </c>
      <c r="F377" s="155">
        <v>0</v>
      </c>
      <c r="G377" s="155">
        <f t="shared" si="20"/>
        <v>0</v>
      </c>
      <c r="H377" s="156"/>
      <c r="I377" s="157" t="s">
        <v>846</v>
      </c>
      <c r="J377" s="158"/>
      <c r="AN377" s="131">
        <v>2</v>
      </c>
    </row>
    <row r="378" spans="1:40" s="131" customFormat="1" ht="25.5" x14ac:dyDescent="0.2">
      <c r="A378" s="195" t="s">
        <v>162</v>
      </c>
      <c r="B378" s="218" t="s">
        <v>160</v>
      </c>
      <c r="C378" s="153" t="s">
        <v>827</v>
      </c>
      <c r="D378" s="154" t="s">
        <v>143</v>
      </c>
      <c r="E378" s="154">
        <v>4</v>
      </c>
      <c r="F378" s="155">
        <v>0</v>
      </c>
      <c r="G378" s="155">
        <f t="shared" si="20"/>
        <v>0</v>
      </c>
      <c r="H378" s="156"/>
      <c r="I378" s="157" t="s">
        <v>844</v>
      </c>
      <c r="J378" s="158"/>
      <c r="AN378" s="131">
        <v>2</v>
      </c>
    </row>
    <row r="379" spans="1:40" s="131" customFormat="1" x14ac:dyDescent="0.2">
      <c r="A379" s="195" t="s">
        <v>162</v>
      </c>
      <c r="B379" s="218" t="s">
        <v>161</v>
      </c>
      <c r="C379" s="153" t="s">
        <v>146</v>
      </c>
      <c r="D379" s="154" t="s">
        <v>147</v>
      </c>
      <c r="E379" s="154">
        <v>4</v>
      </c>
      <c r="F379" s="155">
        <v>0.04</v>
      </c>
      <c r="G379" s="155">
        <f t="shared" si="20"/>
        <v>0.16</v>
      </c>
      <c r="H379" s="156">
        <v>1.4300999999999999</v>
      </c>
      <c r="I379" s="157"/>
      <c r="J379" s="158" t="s">
        <v>973</v>
      </c>
      <c r="AN379" s="131">
        <v>2</v>
      </c>
    </row>
    <row r="380" spans="1:40" s="131" customFormat="1" ht="25.5" x14ac:dyDescent="0.2">
      <c r="A380" s="195" t="s">
        <v>162</v>
      </c>
      <c r="B380" s="218" t="s">
        <v>274</v>
      </c>
      <c r="C380" s="153" t="s">
        <v>148</v>
      </c>
      <c r="D380" s="154" t="s">
        <v>828</v>
      </c>
      <c r="E380" s="154">
        <v>8</v>
      </c>
      <c r="F380" s="155">
        <v>0.02</v>
      </c>
      <c r="G380" s="155">
        <f t="shared" si="20"/>
        <v>0.16</v>
      </c>
      <c r="H380" s="156"/>
      <c r="I380" s="198" t="s">
        <v>844</v>
      </c>
      <c r="J380" s="158"/>
      <c r="AN380" s="131">
        <v>2</v>
      </c>
    </row>
    <row r="381" spans="1:40" s="131" customFormat="1" x14ac:dyDescent="0.2">
      <c r="A381" s="195" t="s">
        <v>162</v>
      </c>
      <c r="B381" s="218" t="s">
        <v>275</v>
      </c>
      <c r="C381" s="153" t="s">
        <v>149</v>
      </c>
      <c r="D381" s="154" t="s">
        <v>150</v>
      </c>
      <c r="E381" s="154">
        <v>4</v>
      </c>
      <c r="F381" s="155">
        <v>0</v>
      </c>
      <c r="G381" s="155">
        <f t="shared" si="20"/>
        <v>0</v>
      </c>
      <c r="H381" s="156"/>
      <c r="I381" s="157" t="s">
        <v>844</v>
      </c>
      <c r="J381" s="158"/>
      <c r="AN381" s="131">
        <v>2</v>
      </c>
    </row>
    <row r="382" spans="1:40" s="131" customFormat="1" x14ac:dyDescent="0.2">
      <c r="A382" s="195" t="s">
        <v>162</v>
      </c>
      <c r="B382" s="218" t="s">
        <v>276</v>
      </c>
      <c r="C382" s="153" t="s">
        <v>151</v>
      </c>
      <c r="D382" s="154" t="s">
        <v>152</v>
      </c>
      <c r="E382" s="154">
        <v>6</v>
      </c>
      <c r="F382" s="155">
        <v>0</v>
      </c>
      <c r="G382" s="155">
        <f t="shared" si="20"/>
        <v>0</v>
      </c>
      <c r="H382" s="156"/>
      <c r="I382" s="157"/>
      <c r="J382" s="158"/>
      <c r="AN382" s="131">
        <v>2</v>
      </c>
    </row>
    <row r="383" spans="1:40" s="131" customFormat="1" x14ac:dyDescent="0.2">
      <c r="A383" s="195" t="s">
        <v>162</v>
      </c>
      <c r="B383" s="218" t="s">
        <v>276</v>
      </c>
      <c r="C383" s="153" t="s">
        <v>151</v>
      </c>
      <c r="D383" s="154" t="s">
        <v>152</v>
      </c>
      <c r="E383" s="154">
        <v>4</v>
      </c>
      <c r="F383" s="155">
        <v>0</v>
      </c>
      <c r="G383" s="155">
        <f t="shared" si="20"/>
        <v>0</v>
      </c>
      <c r="H383" s="156"/>
      <c r="I383" s="157" t="s">
        <v>846</v>
      </c>
      <c r="J383" s="158"/>
      <c r="AN383" s="131">
        <v>2</v>
      </c>
    </row>
    <row r="384" spans="1:40" s="131" customFormat="1" x14ac:dyDescent="0.2">
      <c r="A384" s="195" t="s">
        <v>162</v>
      </c>
      <c r="B384" s="218" t="s">
        <v>277</v>
      </c>
      <c r="C384" s="153" t="s">
        <v>221</v>
      </c>
      <c r="D384" s="154" t="s">
        <v>829</v>
      </c>
      <c r="E384" s="154">
        <v>2</v>
      </c>
      <c r="F384" s="155">
        <v>0</v>
      </c>
      <c r="G384" s="155">
        <f t="shared" si="20"/>
        <v>0</v>
      </c>
      <c r="H384" s="156"/>
      <c r="I384" s="157"/>
      <c r="J384" s="158"/>
      <c r="AN384" s="131">
        <v>2</v>
      </c>
    </row>
    <row r="385" spans="1:40" s="131" customFormat="1" x14ac:dyDescent="0.2">
      <c r="A385" s="195" t="s">
        <v>162</v>
      </c>
      <c r="B385" s="218" t="s">
        <v>298</v>
      </c>
      <c r="C385" s="153" t="s">
        <v>153</v>
      </c>
      <c r="D385" s="154" t="s">
        <v>154</v>
      </c>
      <c r="E385" s="154">
        <v>6</v>
      </c>
      <c r="F385" s="155">
        <v>0</v>
      </c>
      <c r="G385" s="155">
        <f t="shared" si="20"/>
        <v>0</v>
      </c>
      <c r="H385" s="156"/>
      <c r="I385" s="157"/>
      <c r="J385" s="158"/>
      <c r="AN385" s="131">
        <v>2</v>
      </c>
    </row>
    <row r="386" spans="1:40" s="131" customFormat="1" x14ac:dyDescent="0.2">
      <c r="A386" s="195" t="s">
        <v>162</v>
      </c>
      <c r="B386" s="218" t="s">
        <v>356</v>
      </c>
      <c r="C386" s="153" t="s">
        <v>830</v>
      </c>
      <c r="D386" s="154" t="s">
        <v>831</v>
      </c>
      <c r="E386" s="154">
        <v>2</v>
      </c>
      <c r="F386" s="155">
        <v>0.01</v>
      </c>
      <c r="G386" s="155">
        <f t="shared" si="20"/>
        <v>0.02</v>
      </c>
      <c r="H386" s="156"/>
      <c r="I386" s="157"/>
      <c r="J386" s="158"/>
      <c r="AN386" s="131">
        <v>2</v>
      </c>
    </row>
    <row r="387" spans="1:40" ht="15.6" customHeight="1" x14ac:dyDescent="0.2">
      <c r="A387" s="224" t="s">
        <v>162</v>
      </c>
      <c r="B387" s="218" t="s">
        <v>371</v>
      </c>
      <c r="C387" s="159">
        <v>70163</v>
      </c>
      <c r="D387" s="160" t="s">
        <v>278</v>
      </c>
      <c r="E387" s="160">
        <v>1</v>
      </c>
      <c r="F387" s="161"/>
      <c r="G387" s="161"/>
      <c r="H387" s="162"/>
      <c r="I387" s="171"/>
      <c r="J387" s="163" t="s">
        <v>273</v>
      </c>
      <c r="K387" s="60"/>
      <c r="L387" s="24"/>
      <c r="M387" s="25"/>
      <c r="N387" s="132"/>
      <c r="O387" s="26"/>
      <c r="P387" s="45"/>
      <c r="Q387" s="34"/>
      <c r="R387" s="30"/>
      <c r="S387" s="36"/>
      <c r="T387" s="31"/>
      <c r="U387" s="23"/>
      <c r="V387" s="133"/>
      <c r="W387" s="133"/>
      <c r="X387" s="133"/>
      <c r="Y387" s="133"/>
      <c r="Z387" s="133"/>
      <c r="AA387" s="133"/>
      <c r="AB387" s="133"/>
      <c r="AC387" s="133"/>
      <c r="AD387" s="133"/>
      <c r="AE387" s="133"/>
      <c r="AF387" s="133"/>
      <c r="AG387" s="151"/>
      <c r="AH387" s="151"/>
      <c r="AI387" s="151"/>
      <c r="AJ387" s="151"/>
      <c r="AK387" s="151"/>
      <c r="AL387" s="151"/>
      <c r="AM387" s="152"/>
      <c r="AN387" s="131">
        <v>2</v>
      </c>
    </row>
    <row r="388" spans="1:40" ht="12" customHeight="1" x14ac:dyDescent="0.2">
      <c r="A388" s="224" t="s">
        <v>162</v>
      </c>
      <c r="B388" s="218" t="s">
        <v>373</v>
      </c>
      <c r="C388" s="159">
        <v>65539</v>
      </c>
      <c r="D388" s="160" t="s">
        <v>279</v>
      </c>
      <c r="E388" s="160">
        <v>1</v>
      </c>
      <c r="F388" s="161"/>
      <c r="G388" s="161"/>
      <c r="H388" s="162"/>
      <c r="I388" s="171"/>
      <c r="J388" s="163" t="s">
        <v>273</v>
      </c>
      <c r="K388" s="60"/>
      <c r="L388" s="24"/>
      <c r="M388" s="25"/>
      <c r="N388" s="132"/>
      <c r="O388" s="26"/>
      <c r="P388" s="45"/>
      <c r="Q388" s="34"/>
      <c r="R388" s="30"/>
      <c r="S388" s="36"/>
      <c r="T388" s="31"/>
      <c r="U388" s="23"/>
      <c r="V388" s="133"/>
      <c r="W388" s="133"/>
      <c r="X388" s="133"/>
      <c r="Y388" s="133"/>
      <c r="Z388" s="133"/>
      <c r="AA388" s="133"/>
      <c r="AB388" s="133"/>
      <c r="AC388" s="133"/>
      <c r="AD388" s="133"/>
      <c r="AE388" s="133"/>
      <c r="AF388" s="133"/>
      <c r="AG388" s="151"/>
      <c r="AH388" s="151"/>
      <c r="AI388" s="151"/>
      <c r="AJ388" s="151"/>
      <c r="AK388" s="151"/>
      <c r="AL388" s="151"/>
      <c r="AM388" s="152"/>
      <c r="AN388" s="131">
        <v>2</v>
      </c>
    </row>
    <row r="389" spans="1:40" ht="14.45" customHeight="1" x14ac:dyDescent="0.2">
      <c r="A389" s="224" t="s">
        <v>162</v>
      </c>
      <c r="B389" s="218" t="s">
        <v>374</v>
      </c>
      <c r="C389" s="159">
        <v>69972</v>
      </c>
      <c r="D389" s="160" t="s">
        <v>280</v>
      </c>
      <c r="E389" s="160">
        <v>1</v>
      </c>
      <c r="F389" s="161"/>
      <c r="G389" s="161"/>
      <c r="H389" s="162"/>
      <c r="I389" s="171"/>
      <c r="J389" s="163" t="s">
        <v>273</v>
      </c>
      <c r="K389" s="60"/>
      <c r="L389" s="24"/>
      <c r="M389" s="25"/>
      <c r="N389" s="132"/>
      <c r="O389" s="26"/>
      <c r="P389" s="45"/>
      <c r="Q389" s="34"/>
      <c r="R389" s="30"/>
      <c r="S389" s="36"/>
      <c r="T389" s="31"/>
      <c r="U389" s="23"/>
      <c r="V389" s="133"/>
      <c r="W389" s="133"/>
      <c r="X389" s="133"/>
      <c r="Y389" s="133"/>
      <c r="Z389" s="133"/>
      <c r="AA389" s="133"/>
      <c r="AB389" s="133"/>
      <c r="AC389" s="133"/>
      <c r="AD389" s="133"/>
      <c r="AE389" s="133"/>
      <c r="AF389" s="133"/>
      <c r="AG389" s="151"/>
      <c r="AH389" s="151"/>
      <c r="AI389" s="151"/>
      <c r="AJ389" s="151"/>
      <c r="AK389" s="151"/>
      <c r="AL389" s="151"/>
      <c r="AM389" s="152"/>
      <c r="AN389" s="131">
        <v>2</v>
      </c>
    </row>
    <row r="390" spans="1:40" ht="13.15" customHeight="1" x14ac:dyDescent="0.2">
      <c r="A390" s="224" t="s">
        <v>162</v>
      </c>
      <c r="B390" s="218" t="s">
        <v>375</v>
      </c>
      <c r="C390" s="223">
        <v>45588</v>
      </c>
      <c r="D390" s="154" t="s">
        <v>881</v>
      </c>
      <c r="E390" s="160">
        <v>1</v>
      </c>
      <c r="F390" s="161"/>
      <c r="G390" s="161"/>
      <c r="H390" s="162"/>
      <c r="I390" s="171"/>
      <c r="J390" s="163" t="s">
        <v>273</v>
      </c>
      <c r="K390" s="60"/>
      <c r="L390" s="24"/>
      <c r="M390" s="25"/>
      <c r="N390" s="132"/>
      <c r="O390" s="26"/>
      <c r="P390" s="45"/>
      <c r="Q390" s="34"/>
      <c r="R390" s="30"/>
      <c r="S390" s="36"/>
      <c r="T390" s="31"/>
      <c r="U390" s="23"/>
      <c r="V390" s="133"/>
      <c r="W390" s="133"/>
      <c r="X390" s="133"/>
      <c r="Y390" s="133"/>
      <c r="Z390" s="133"/>
      <c r="AA390" s="133"/>
      <c r="AB390" s="133"/>
      <c r="AC390" s="133"/>
      <c r="AD390" s="133"/>
      <c r="AE390" s="133"/>
      <c r="AF390" s="133"/>
      <c r="AG390" s="151"/>
      <c r="AH390" s="151"/>
      <c r="AI390" s="151"/>
      <c r="AJ390" s="151"/>
      <c r="AK390" s="151"/>
      <c r="AL390" s="151"/>
      <c r="AM390" s="152"/>
      <c r="AN390" s="131">
        <v>2</v>
      </c>
    </row>
    <row r="391" spans="1:40" ht="13.9" customHeight="1" x14ac:dyDescent="0.2">
      <c r="A391" s="224" t="s">
        <v>162</v>
      </c>
      <c r="B391" s="218" t="s">
        <v>376</v>
      </c>
      <c r="C391" s="159">
        <v>57559</v>
      </c>
      <c r="D391" s="160" t="s">
        <v>281</v>
      </c>
      <c r="E391" s="160">
        <v>2</v>
      </c>
      <c r="F391" s="161"/>
      <c r="G391" s="161"/>
      <c r="H391" s="162"/>
      <c r="I391" s="171"/>
      <c r="J391" s="163" t="s">
        <v>273</v>
      </c>
      <c r="K391" s="60"/>
      <c r="L391" s="24"/>
      <c r="M391" s="25"/>
      <c r="N391" s="132"/>
      <c r="O391" s="26"/>
      <c r="P391" s="45"/>
      <c r="Q391" s="34"/>
      <c r="R391" s="30"/>
      <c r="S391" s="36"/>
      <c r="T391" s="31"/>
      <c r="U391" s="23"/>
      <c r="V391" s="133"/>
      <c r="W391" s="133"/>
      <c r="X391" s="133"/>
      <c r="Y391" s="133"/>
      <c r="Z391" s="133"/>
      <c r="AA391" s="133"/>
      <c r="AB391" s="133"/>
      <c r="AC391" s="133"/>
      <c r="AD391" s="133"/>
      <c r="AE391" s="133"/>
      <c r="AF391" s="133"/>
      <c r="AG391" s="151"/>
      <c r="AH391" s="151"/>
      <c r="AI391" s="151"/>
      <c r="AJ391" s="151"/>
      <c r="AK391" s="151"/>
      <c r="AL391" s="151"/>
      <c r="AM391" s="152"/>
      <c r="AN391" s="131">
        <v>2</v>
      </c>
    </row>
    <row r="392" spans="1:40" ht="14.45" customHeight="1" x14ac:dyDescent="0.2">
      <c r="A392" s="224" t="s">
        <v>162</v>
      </c>
      <c r="B392" s="218" t="s">
        <v>377</v>
      </c>
      <c r="C392" s="153">
        <v>58189</v>
      </c>
      <c r="D392" s="154" t="s">
        <v>882</v>
      </c>
      <c r="E392" s="154">
        <v>1</v>
      </c>
      <c r="F392" s="161"/>
      <c r="G392" s="161"/>
      <c r="H392" s="162"/>
      <c r="I392" s="194"/>
      <c r="J392" s="163" t="s">
        <v>273</v>
      </c>
      <c r="K392" s="60"/>
      <c r="L392" s="24"/>
      <c r="M392" s="25"/>
      <c r="N392" s="132"/>
      <c r="O392" s="26"/>
      <c r="P392" s="45"/>
      <c r="Q392" s="34"/>
      <c r="R392" s="30"/>
      <c r="S392" s="36"/>
      <c r="T392" s="31"/>
      <c r="U392" s="23"/>
      <c r="V392" s="133"/>
      <c r="W392" s="133"/>
      <c r="X392" s="133"/>
      <c r="Y392" s="133"/>
      <c r="Z392" s="133"/>
      <c r="AA392" s="133"/>
      <c r="AB392" s="133"/>
      <c r="AC392" s="133"/>
      <c r="AD392" s="133"/>
      <c r="AE392" s="133"/>
      <c r="AF392" s="133"/>
      <c r="AG392" s="151"/>
      <c r="AH392" s="151"/>
      <c r="AI392" s="151"/>
      <c r="AJ392" s="151"/>
      <c r="AK392" s="151"/>
      <c r="AL392" s="151"/>
      <c r="AM392" s="152"/>
      <c r="AN392" s="131">
        <v>2</v>
      </c>
    </row>
    <row r="393" spans="1:40" ht="11.25" customHeight="1" outlineLevel="1" x14ac:dyDescent="0.2">
      <c r="A393" s="225" t="s">
        <v>162</v>
      </c>
      <c r="B393" s="218" t="s">
        <v>380</v>
      </c>
      <c r="C393" s="186" t="s">
        <v>368</v>
      </c>
      <c r="D393" s="154" t="s">
        <v>883</v>
      </c>
      <c r="E393" s="154">
        <v>1</v>
      </c>
      <c r="F393" s="155">
        <v>0.5</v>
      </c>
      <c r="G393" s="155">
        <f t="shared" ref="G393" si="21">F393*E393</f>
        <v>0.5</v>
      </c>
      <c r="H393" s="156"/>
      <c r="I393" s="171"/>
      <c r="J393" s="179" t="s">
        <v>369</v>
      </c>
      <c r="K393" s="180"/>
      <c r="L393" s="181"/>
      <c r="M393" s="178"/>
      <c r="N393" s="165"/>
      <c r="O393" s="182"/>
      <c r="P393" s="182"/>
      <c r="Q393" s="178"/>
      <c r="R393" s="183"/>
      <c r="S393" s="184"/>
      <c r="T393" s="185"/>
      <c r="U393" s="178"/>
      <c r="AF393" s="9"/>
      <c r="AN393" s="131">
        <v>2</v>
      </c>
    </row>
    <row r="394" spans="1:40" s="192" customFormat="1" ht="24.75" customHeight="1" outlineLevel="1" x14ac:dyDescent="0.2">
      <c r="A394" s="225" t="s">
        <v>162</v>
      </c>
      <c r="B394" s="218" t="s">
        <v>412</v>
      </c>
      <c r="C394" s="193" t="s">
        <v>886</v>
      </c>
      <c r="D394" s="154" t="s">
        <v>887</v>
      </c>
      <c r="E394" s="154">
        <v>1</v>
      </c>
      <c r="F394" s="155"/>
      <c r="G394" s="155"/>
      <c r="H394" s="156"/>
      <c r="I394" s="171"/>
      <c r="J394" s="179" t="s">
        <v>417</v>
      </c>
      <c r="K394" s="187"/>
      <c r="L394" s="188"/>
      <c r="M394" s="189"/>
      <c r="N394" s="190"/>
      <c r="O394" s="191"/>
      <c r="P394" s="191"/>
      <c r="Q394" s="189"/>
      <c r="R394" s="185"/>
      <c r="S394" s="184"/>
      <c r="T394" s="185"/>
      <c r="U394" s="189"/>
      <c r="V394" s="74"/>
      <c r="W394" s="74"/>
      <c r="X394" s="74"/>
      <c r="Y394" s="74"/>
      <c r="Z394" s="74"/>
      <c r="AA394" s="74"/>
      <c r="AB394" s="74"/>
      <c r="AC394" s="74"/>
      <c r="AD394" s="74"/>
      <c r="AE394" s="74"/>
      <c r="AF394" s="74"/>
      <c r="AN394" s="131">
        <v>2</v>
      </c>
    </row>
    <row r="395" spans="1:40" s="192" customFormat="1" ht="24.75" customHeight="1" outlineLevel="1" x14ac:dyDescent="0.2">
      <c r="A395" s="225" t="s">
        <v>162</v>
      </c>
      <c r="B395" s="218" t="s">
        <v>413</v>
      </c>
      <c r="C395" s="226" t="s">
        <v>884</v>
      </c>
      <c r="D395" s="160" t="s">
        <v>888</v>
      </c>
      <c r="E395" s="160">
        <v>1</v>
      </c>
      <c r="F395" s="161"/>
      <c r="G395" s="161"/>
      <c r="H395" s="162"/>
      <c r="I395" s="171"/>
      <c r="J395" s="227" t="s">
        <v>885</v>
      </c>
      <c r="K395" s="187"/>
      <c r="L395" s="188"/>
      <c r="M395" s="189"/>
      <c r="N395" s="190"/>
      <c r="O395" s="191"/>
      <c r="P395" s="191"/>
      <c r="Q395" s="189"/>
      <c r="R395" s="185"/>
      <c r="S395" s="184"/>
      <c r="T395" s="185"/>
      <c r="U395" s="189"/>
      <c r="V395" s="74"/>
      <c r="W395" s="74"/>
      <c r="X395" s="74"/>
      <c r="Y395" s="74"/>
      <c r="Z395" s="74"/>
      <c r="AA395" s="74"/>
      <c r="AB395" s="74"/>
      <c r="AC395" s="74"/>
      <c r="AD395" s="74"/>
      <c r="AE395" s="74"/>
      <c r="AF395" s="74"/>
      <c r="AN395" s="131">
        <v>2</v>
      </c>
    </row>
    <row r="396" spans="1:40" s="192" customFormat="1" ht="24.75" customHeight="1" collapsed="1" x14ac:dyDescent="0.2">
      <c r="A396" s="228" t="s">
        <v>162</v>
      </c>
      <c r="B396" s="213" t="s">
        <v>426</v>
      </c>
      <c r="C396" s="153" t="s">
        <v>418</v>
      </c>
      <c r="D396" s="154" t="s">
        <v>419</v>
      </c>
      <c r="E396" s="160">
        <v>2</v>
      </c>
      <c r="F396" s="155"/>
      <c r="G396" s="155"/>
      <c r="H396" s="156"/>
      <c r="I396" s="157"/>
      <c r="J396" s="179" t="s">
        <v>414</v>
      </c>
      <c r="K396" s="187"/>
      <c r="L396" s="188"/>
      <c r="M396" s="189"/>
      <c r="N396" s="190"/>
      <c r="O396" s="191"/>
      <c r="P396" s="191"/>
      <c r="Q396" s="189"/>
      <c r="R396" s="185"/>
      <c r="S396" s="184"/>
      <c r="T396" s="185"/>
      <c r="U396" s="189"/>
      <c r="V396" s="74"/>
      <c r="W396" s="74"/>
      <c r="X396" s="74"/>
      <c r="Y396" s="74"/>
      <c r="Z396" s="74"/>
      <c r="AA396" s="74"/>
      <c r="AB396" s="74"/>
      <c r="AC396" s="74"/>
      <c r="AD396" s="74"/>
      <c r="AE396" s="74"/>
      <c r="AF396" s="74"/>
      <c r="AN396" s="131">
        <v>2</v>
      </c>
    </row>
    <row r="397" spans="1:40" s="192" customFormat="1" ht="24.75" customHeight="1" x14ac:dyDescent="0.2">
      <c r="A397" s="228" t="s">
        <v>162</v>
      </c>
      <c r="B397" s="213" t="s">
        <v>427</v>
      </c>
      <c r="C397" s="153" t="s">
        <v>420</v>
      </c>
      <c r="D397" s="154" t="s">
        <v>421</v>
      </c>
      <c r="E397" s="160">
        <v>1</v>
      </c>
      <c r="F397" s="155"/>
      <c r="G397" s="155"/>
      <c r="H397" s="156"/>
      <c r="I397" s="157"/>
      <c r="J397" s="179" t="s">
        <v>414</v>
      </c>
      <c r="K397" s="187"/>
      <c r="L397" s="188"/>
      <c r="M397" s="189"/>
      <c r="N397" s="190"/>
      <c r="O397" s="191"/>
      <c r="P397" s="191"/>
      <c r="Q397" s="189"/>
      <c r="R397" s="185"/>
      <c r="S397" s="184"/>
      <c r="T397" s="185"/>
      <c r="U397" s="189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N397" s="131">
        <v>2</v>
      </c>
    </row>
    <row r="398" spans="1:40" s="192" customFormat="1" ht="24.75" customHeight="1" x14ac:dyDescent="0.2">
      <c r="A398" s="228" t="s">
        <v>162</v>
      </c>
      <c r="B398" s="213" t="s">
        <v>428</v>
      </c>
      <c r="C398" s="153" t="s">
        <v>422</v>
      </c>
      <c r="D398" s="154" t="s">
        <v>423</v>
      </c>
      <c r="E398" s="160">
        <v>1</v>
      </c>
      <c r="F398" s="155"/>
      <c r="G398" s="155"/>
      <c r="H398" s="156"/>
      <c r="I398" s="157"/>
      <c r="J398" s="179" t="s">
        <v>414</v>
      </c>
      <c r="K398" s="187"/>
      <c r="L398" s="188"/>
      <c r="M398" s="189"/>
      <c r="N398" s="190"/>
      <c r="O398" s="191"/>
      <c r="P398" s="191"/>
      <c r="Q398" s="189"/>
      <c r="R398" s="185"/>
      <c r="S398" s="184"/>
      <c r="T398" s="185"/>
      <c r="U398" s="189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N398" s="131">
        <v>2</v>
      </c>
    </row>
    <row r="399" spans="1:40" s="192" customFormat="1" ht="24.75" customHeight="1" x14ac:dyDescent="0.2">
      <c r="A399" s="228" t="s">
        <v>162</v>
      </c>
      <c r="B399" s="213" t="s">
        <v>429</v>
      </c>
      <c r="C399" s="153" t="s">
        <v>424</v>
      </c>
      <c r="D399" s="154" t="s">
        <v>425</v>
      </c>
      <c r="E399" s="160">
        <v>1</v>
      </c>
      <c r="F399" s="155"/>
      <c r="G399" s="155"/>
      <c r="H399" s="156"/>
      <c r="I399" s="157"/>
      <c r="J399" s="179" t="s">
        <v>414</v>
      </c>
      <c r="K399" s="187"/>
      <c r="L399" s="188"/>
      <c r="M399" s="189"/>
      <c r="N399" s="190"/>
      <c r="O399" s="191"/>
      <c r="P399" s="191"/>
      <c r="Q399" s="189"/>
      <c r="R399" s="185"/>
      <c r="S399" s="184"/>
      <c r="T399" s="185"/>
      <c r="U399" s="189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N399" s="131">
        <v>2</v>
      </c>
    </row>
    <row r="400" spans="1:40" x14ac:dyDescent="0.2">
      <c r="A400" s="228" t="s">
        <v>162</v>
      </c>
      <c r="B400" s="213" t="s">
        <v>889</v>
      </c>
      <c r="C400" s="159"/>
      <c r="D400" s="160" t="s">
        <v>890</v>
      </c>
      <c r="E400" s="160">
        <v>20</v>
      </c>
      <c r="F400" s="161"/>
      <c r="G400" s="161"/>
      <c r="H400" s="162"/>
      <c r="I400" s="214"/>
      <c r="J400" s="158" t="s">
        <v>417</v>
      </c>
      <c r="K400" s="60"/>
      <c r="L400" s="24"/>
      <c r="M400" s="25"/>
      <c r="N400" s="132"/>
      <c r="O400" s="26"/>
      <c r="P400" s="45"/>
      <c r="Q400" s="34"/>
      <c r="R400" s="30"/>
      <c r="S400" s="36"/>
      <c r="T400" s="31"/>
      <c r="U400" s="23"/>
      <c r="V400" s="133"/>
      <c r="W400" s="133"/>
      <c r="X400" s="133"/>
      <c r="Y400" s="133"/>
      <c r="Z400" s="133"/>
      <c r="AA400" s="133"/>
      <c r="AB400" s="133"/>
      <c r="AC400" s="133"/>
      <c r="AD400" s="133"/>
      <c r="AE400" s="133"/>
      <c r="AF400" s="133"/>
      <c r="AG400" s="151"/>
      <c r="AH400" s="151"/>
      <c r="AI400" s="151"/>
      <c r="AJ400" s="151"/>
      <c r="AK400" s="151"/>
      <c r="AL400" s="151"/>
      <c r="AM400" s="152"/>
      <c r="AN400" s="131">
        <v>2</v>
      </c>
    </row>
    <row r="401" spans="1:40" ht="15.6" customHeight="1" x14ac:dyDescent="0.2">
      <c r="A401" s="228" t="s">
        <v>162</v>
      </c>
      <c r="B401" s="213" t="s">
        <v>975</v>
      </c>
      <c r="C401" s="159">
        <v>44506</v>
      </c>
      <c r="D401" s="160" t="s">
        <v>974</v>
      </c>
      <c r="E401" s="160">
        <v>1</v>
      </c>
      <c r="F401" s="161"/>
      <c r="G401" s="161"/>
      <c r="H401" s="162"/>
      <c r="I401" s="171"/>
      <c r="J401" s="163" t="s">
        <v>273</v>
      </c>
      <c r="K401" s="60"/>
      <c r="L401" s="24"/>
      <c r="M401" s="25"/>
      <c r="N401" s="132"/>
      <c r="O401" s="26"/>
      <c r="P401" s="45"/>
      <c r="Q401" s="34"/>
      <c r="R401" s="30"/>
      <c r="S401" s="36"/>
      <c r="T401" s="31"/>
      <c r="U401" s="23"/>
      <c r="V401" s="133"/>
      <c r="W401" s="133"/>
      <c r="X401" s="133"/>
      <c r="Y401" s="133"/>
      <c r="Z401" s="133"/>
      <c r="AA401" s="133"/>
      <c r="AB401" s="133"/>
      <c r="AC401" s="133"/>
      <c r="AD401" s="133"/>
      <c r="AE401" s="133"/>
      <c r="AF401" s="133"/>
      <c r="AG401" s="151"/>
      <c r="AH401" s="151"/>
      <c r="AI401" s="151"/>
      <c r="AJ401" s="151"/>
      <c r="AK401" s="151"/>
      <c r="AL401" s="151"/>
      <c r="AM401" s="152"/>
      <c r="AN401" s="131">
        <v>2</v>
      </c>
    </row>
    <row r="402" spans="1:40" x14ac:dyDescent="0.2">
      <c r="A402" s="228" t="s">
        <v>162</v>
      </c>
      <c r="B402" s="213" t="s">
        <v>979</v>
      </c>
      <c r="C402" s="159" t="s">
        <v>981</v>
      </c>
      <c r="D402" s="160" t="s">
        <v>977</v>
      </c>
      <c r="E402" s="160">
        <v>10</v>
      </c>
      <c r="F402" s="161"/>
      <c r="G402" s="161"/>
      <c r="H402" s="162"/>
      <c r="I402" s="214" t="s">
        <v>980</v>
      </c>
      <c r="J402" s="163" t="s">
        <v>978</v>
      </c>
      <c r="K402" s="60"/>
      <c r="L402" s="24"/>
      <c r="M402" s="25"/>
      <c r="N402" s="132"/>
      <c r="O402" s="26"/>
      <c r="P402" s="45"/>
      <c r="Q402" s="34"/>
      <c r="R402" s="30"/>
      <c r="S402" s="36"/>
      <c r="T402" s="31"/>
      <c r="U402" s="23"/>
      <c r="V402" s="133"/>
      <c r="W402" s="133"/>
      <c r="X402" s="133"/>
      <c r="Y402" s="133"/>
      <c r="Z402" s="133"/>
      <c r="AA402" s="133"/>
      <c r="AB402" s="133"/>
      <c r="AC402" s="133"/>
      <c r="AD402" s="133"/>
      <c r="AE402" s="133"/>
      <c r="AF402" s="133"/>
      <c r="AG402" s="151"/>
      <c r="AH402" s="151"/>
      <c r="AI402" s="151"/>
      <c r="AJ402" s="151"/>
      <c r="AK402" s="151"/>
      <c r="AL402" s="151"/>
      <c r="AM402" s="152"/>
      <c r="AN402" s="131">
        <v>2</v>
      </c>
    </row>
    <row r="403" spans="1:40" s="131" customFormat="1" ht="25.5" customHeight="1" outlineLevel="1" x14ac:dyDescent="0.2">
      <c r="A403" s="228" t="s">
        <v>162</v>
      </c>
      <c r="B403" s="213" t="s">
        <v>984</v>
      </c>
      <c r="C403" s="240" t="s">
        <v>982</v>
      </c>
      <c r="D403" s="160" t="s">
        <v>983</v>
      </c>
      <c r="E403" s="160">
        <v>6</v>
      </c>
      <c r="F403" s="161"/>
      <c r="G403" s="161"/>
      <c r="H403" s="162"/>
      <c r="I403" s="194"/>
      <c r="J403" s="179" t="s">
        <v>968</v>
      </c>
      <c r="AN403" s="131">
        <v>2</v>
      </c>
    </row>
    <row r="404" spans="1:40" ht="13.5" collapsed="1" thickBot="1" x14ac:dyDescent="0.25">
      <c r="A404" s="129"/>
      <c r="B404" s="128"/>
      <c r="C404" s="79"/>
      <c r="D404" s="79"/>
      <c r="E404" s="80"/>
      <c r="F404" s="125"/>
      <c r="G404" s="125"/>
      <c r="H404" s="81"/>
      <c r="I404" s="82"/>
      <c r="J404" s="127"/>
      <c r="K404" s="126"/>
      <c r="L404" s="38"/>
      <c r="M404" s="37"/>
      <c r="N404" s="166"/>
      <c r="O404" s="46"/>
      <c r="P404" s="145">
        <f>O404*E404</f>
        <v>0</v>
      </c>
      <c r="Q404" s="13"/>
      <c r="R404" s="32"/>
      <c r="S404" s="97" t="str">
        <f>IF(P404=R404,"NIE","TAK")</f>
        <v>NIE</v>
      </c>
      <c r="T404" s="33">
        <f>P404-R404</f>
        <v>0</v>
      </c>
      <c r="U404" s="37"/>
      <c r="V404" s="116"/>
      <c r="W404" s="116"/>
      <c r="X404" s="116"/>
      <c r="Y404" s="116"/>
      <c r="Z404" s="116"/>
      <c r="AA404" s="116"/>
      <c r="AB404" s="116"/>
      <c r="AC404" s="116"/>
      <c r="AD404" s="116"/>
      <c r="AE404" s="116"/>
      <c r="AF404" s="116"/>
      <c r="AG404" s="116"/>
      <c r="AH404" s="116"/>
      <c r="AI404" s="116"/>
      <c r="AJ404" s="116"/>
      <c r="AK404" s="116"/>
      <c r="AL404" s="116"/>
      <c r="AM404" s="117"/>
    </row>
    <row r="405" spans="1:40" ht="13.5" thickBot="1" x14ac:dyDescent="0.25">
      <c r="A405" s="134"/>
      <c r="B405" s="134"/>
      <c r="C405" s="4"/>
      <c r="D405" s="4"/>
      <c r="E405" s="135"/>
      <c r="F405" s="136"/>
      <c r="G405" s="136"/>
      <c r="H405" s="137"/>
      <c r="I405" s="4"/>
      <c r="J405" s="4"/>
      <c r="L405" s="138"/>
      <c r="N405" s="167"/>
      <c r="O405" s="139"/>
      <c r="P405" s="149"/>
      <c r="Q405" s="146"/>
      <c r="R405" s="150"/>
      <c r="S405" s="147"/>
      <c r="T405" s="148"/>
      <c r="V405" s="140"/>
      <c r="W405" s="140"/>
      <c r="X405" s="140"/>
      <c r="Y405" s="140"/>
      <c r="Z405" s="140"/>
      <c r="AA405" s="140"/>
      <c r="AB405" s="140"/>
      <c r="AC405" s="140"/>
      <c r="AD405" s="140"/>
      <c r="AE405" s="140"/>
      <c r="AF405" s="140"/>
      <c r="AG405" s="140"/>
      <c r="AH405" s="140"/>
      <c r="AI405" s="140"/>
      <c r="AJ405" s="140"/>
      <c r="AK405" s="140"/>
      <c r="AL405" s="140"/>
      <c r="AM405" s="140"/>
    </row>
    <row r="406" spans="1:40" s="2" customFormat="1" ht="15.75" thickBot="1" x14ac:dyDescent="0.25">
      <c r="A406" s="77"/>
      <c r="B406" s="77"/>
      <c r="C406" s="49"/>
      <c r="D406" s="4"/>
      <c r="E406" s="3"/>
      <c r="F406" s="47" t="s">
        <v>30</v>
      </c>
      <c r="G406" s="123">
        <f>SUM(G7:G404)</f>
        <v>198.97197132000008</v>
      </c>
      <c r="H406" s="6"/>
      <c r="I406" s="7"/>
      <c r="K406" s="7"/>
      <c r="L406" s="7"/>
      <c r="M406" s="7"/>
      <c r="N406" s="63"/>
      <c r="O406" s="71" t="s">
        <v>12</v>
      </c>
      <c r="P406" s="27">
        <f>SUM(P404:P404)</f>
        <v>0</v>
      </c>
      <c r="Q406" s="28" t="s">
        <v>20</v>
      </c>
      <c r="R406" s="35">
        <f>SUM(R404:R404)</f>
        <v>0</v>
      </c>
      <c r="S406" s="72" t="s">
        <v>19</v>
      </c>
      <c r="T406" s="96">
        <f>SUM(T404:T404)</f>
        <v>0</v>
      </c>
      <c r="U406" s="7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</row>
    <row r="407" spans="1:40" s="2" customFormat="1" ht="13.5" thickBot="1" x14ac:dyDescent="0.25">
      <c r="A407" s="77"/>
      <c r="B407" s="77"/>
      <c r="C407" s="49"/>
      <c r="D407" s="4"/>
      <c r="E407" s="3"/>
      <c r="G407" s="122"/>
      <c r="H407" s="6"/>
      <c r="I407" s="7"/>
      <c r="K407" s="7"/>
      <c r="L407" s="7"/>
      <c r="M407" s="7"/>
      <c r="N407" s="63"/>
      <c r="O407" s="71"/>
      <c r="P407" s="50"/>
      <c r="Q407" s="28"/>
      <c r="R407" s="51"/>
      <c r="S407" s="72"/>
      <c r="T407" s="51"/>
      <c r="U407" s="7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</row>
    <row r="408" spans="1:40" s="2" customFormat="1" ht="13.5" thickBot="1" x14ac:dyDescent="0.25">
      <c r="A408" s="77"/>
      <c r="B408" s="77"/>
      <c r="C408" s="95" t="s">
        <v>64</v>
      </c>
      <c r="D408" s="22" t="s">
        <v>891</v>
      </c>
      <c r="E408" s="3"/>
      <c r="F408" s="47" t="s">
        <v>30</v>
      </c>
      <c r="G408" s="124">
        <f>SUBTOTAL(9,G8:G404)</f>
        <v>198.97197132000008</v>
      </c>
      <c r="H408" s="6"/>
      <c r="I408" s="7"/>
      <c r="J408" s="7"/>
      <c r="K408" s="7"/>
      <c r="L408" s="7"/>
      <c r="M408" s="7"/>
      <c r="N408" s="63"/>
      <c r="O408" s="18"/>
      <c r="P408" s="130">
        <f>SUBTOTAL(9,P404:P404)</f>
        <v>0</v>
      </c>
      <c r="Q408" s="7"/>
      <c r="R408" s="9"/>
      <c r="S408" s="9"/>
      <c r="T408" s="9"/>
      <c r="U408" s="7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</row>
    <row r="409" spans="1:40" s="2" customFormat="1" ht="13.5" thickBot="1" x14ac:dyDescent="0.25">
      <c r="A409" s="77"/>
      <c r="B409" s="77"/>
      <c r="C409" s="95" t="s">
        <v>63</v>
      </c>
      <c r="D409" s="22" t="s">
        <v>891</v>
      </c>
      <c r="E409" s="3"/>
      <c r="F409" s="86"/>
      <c r="G409" s="86"/>
      <c r="H409" s="6"/>
      <c r="I409" s="7"/>
      <c r="J409" s="7"/>
      <c r="K409" s="7"/>
      <c r="L409" s="7"/>
      <c r="M409" s="7"/>
      <c r="N409" s="63"/>
      <c r="O409" s="18"/>
      <c r="P409" s="21"/>
      <c r="Q409" s="7"/>
      <c r="R409" s="9"/>
      <c r="S409" s="9"/>
      <c r="T409" s="9"/>
      <c r="U409" s="7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</row>
    <row r="410" spans="1:40" s="2" customFormat="1" ht="39" thickBot="1" x14ac:dyDescent="0.25">
      <c r="A410" s="77"/>
      <c r="B410" s="77"/>
      <c r="C410" s="259" t="s">
        <v>45</v>
      </c>
      <c r="D410" s="259"/>
      <c r="E410" s="3"/>
      <c r="F410" s="87" t="s">
        <v>41</v>
      </c>
      <c r="G410" s="47"/>
      <c r="H410" s="6"/>
      <c r="I410" s="7"/>
      <c r="J410" s="7"/>
      <c r="K410" s="7"/>
      <c r="L410" s="7"/>
      <c r="M410" s="7"/>
      <c r="N410" s="63"/>
      <c r="O410" s="18"/>
      <c r="P410" s="21"/>
      <c r="Q410" s="7"/>
      <c r="R410" s="9"/>
      <c r="S410" s="9"/>
      <c r="T410" s="9"/>
      <c r="U410" s="7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</row>
    <row r="411" spans="1:40" s="2" customFormat="1" x14ac:dyDescent="0.2">
      <c r="A411" s="77"/>
      <c r="B411" s="77"/>
      <c r="C411" s="259"/>
      <c r="D411" s="259"/>
      <c r="E411" s="3"/>
      <c r="F411" s="5"/>
      <c r="G411" s="6"/>
      <c r="H411" s="6"/>
      <c r="I411" s="39" t="s">
        <v>14</v>
      </c>
      <c r="J411" s="7"/>
      <c r="K411" s="7"/>
      <c r="L411" s="7"/>
      <c r="M411" s="7"/>
      <c r="N411" s="63"/>
      <c r="O411" s="18"/>
      <c r="P411" s="21"/>
      <c r="Q411" s="7"/>
      <c r="R411" s="9"/>
      <c r="S411" s="9"/>
      <c r="T411" s="9"/>
      <c r="U411" s="7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</row>
    <row r="412" spans="1:40" s="2" customFormat="1" x14ac:dyDescent="0.2">
      <c r="A412" s="77"/>
      <c r="B412" s="77"/>
      <c r="C412" s="259"/>
      <c r="D412" s="259"/>
      <c r="E412" s="83"/>
      <c r="F412" s="83"/>
      <c r="G412" s="260" t="s">
        <v>370</v>
      </c>
      <c r="H412" s="261"/>
      <c r="I412" s="261"/>
      <c r="J412" s="262"/>
      <c r="K412" s="7"/>
      <c r="L412" s="7"/>
      <c r="N412" s="76"/>
      <c r="O412" s="21"/>
      <c r="P412" s="7"/>
      <c r="Q412" s="7"/>
      <c r="R412" s="1"/>
      <c r="S412" s="1"/>
      <c r="T412" s="1"/>
    </row>
    <row r="413" spans="1:40" x14ac:dyDescent="0.2">
      <c r="B413" s="77"/>
      <c r="C413" s="259"/>
      <c r="D413" s="259"/>
      <c r="E413" s="85"/>
      <c r="F413" s="85"/>
      <c r="G413" s="263"/>
      <c r="H413" s="264"/>
      <c r="I413" s="264"/>
      <c r="J413" s="265"/>
      <c r="K413" s="10"/>
      <c r="L413" s="10"/>
      <c r="M413" s="2"/>
      <c r="N413" s="73"/>
      <c r="O413" s="168"/>
      <c r="P413" s="2"/>
      <c r="Q413" s="2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</row>
    <row r="414" spans="1:40" x14ac:dyDescent="0.2">
      <c r="B414" s="77"/>
      <c r="C414" s="259"/>
      <c r="D414" s="259"/>
      <c r="E414" s="89"/>
      <c r="F414" s="85"/>
      <c r="G414" s="263"/>
      <c r="H414" s="264"/>
      <c r="I414" s="264"/>
      <c r="J414" s="265"/>
      <c r="K414" s="10"/>
      <c r="L414" s="10"/>
      <c r="M414" s="2"/>
      <c r="N414" s="73"/>
      <c r="O414" s="168"/>
      <c r="P414" s="2"/>
      <c r="Q414" s="2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</row>
    <row r="415" spans="1:40" ht="15" x14ac:dyDescent="0.2">
      <c r="B415" s="77"/>
      <c r="D415" s="84"/>
      <c r="E415" s="85"/>
      <c r="F415" s="85"/>
      <c r="G415" s="263"/>
      <c r="H415" s="264"/>
      <c r="I415" s="264"/>
      <c r="J415" s="265"/>
      <c r="K415" s="10"/>
      <c r="L415" s="10"/>
      <c r="M415" s="2"/>
      <c r="N415" s="12"/>
      <c r="O415" s="169"/>
      <c r="P415" s="2"/>
      <c r="Q415" s="2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</row>
    <row r="416" spans="1:40" ht="15" x14ac:dyDescent="0.2">
      <c r="B416" s="77"/>
      <c r="D416" s="84"/>
      <c r="E416" s="85"/>
      <c r="F416" s="85"/>
      <c r="G416" s="263"/>
      <c r="H416" s="264"/>
      <c r="I416" s="264"/>
      <c r="J416" s="265"/>
      <c r="K416" s="10"/>
      <c r="L416" s="10"/>
      <c r="M416" s="2"/>
      <c r="N416" s="12"/>
      <c r="O416" s="169"/>
      <c r="P416" s="2"/>
      <c r="Q416" s="2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</row>
    <row r="417" spans="1:31" ht="13.5" thickBot="1" x14ac:dyDescent="0.25">
      <c r="A417" s="175"/>
      <c r="B417" s="98"/>
      <c r="C417" s="98"/>
      <c r="D417" s="98"/>
      <c r="E417" s="99"/>
      <c r="F417" s="99"/>
      <c r="G417" s="263"/>
      <c r="H417" s="264"/>
      <c r="I417" s="264"/>
      <c r="J417" s="265"/>
      <c r="K417" s="10"/>
      <c r="L417" s="10"/>
      <c r="M417" s="2"/>
      <c r="N417" s="12"/>
      <c r="O417" s="169"/>
      <c r="P417" s="2"/>
      <c r="Q417" s="2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</row>
    <row r="418" spans="1:31" ht="21.75" x14ac:dyDescent="0.2">
      <c r="A418" s="176" t="s">
        <v>46</v>
      </c>
      <c r="B418" s="101" t="s">
        <v>47</v>
      </c>
      <c r="C418" s="101" t="s">
        <v>48</v>
      </c>
      <c r="D418" s="101" t="s">
        <v>49</v>
      </c>
      <c r="E418" s="113" t="s">
        <v>50</v>
      </c>
      <c r="F418" s="99"/>
      <c r="G418" s="263"/>
      <c r="H418" s="264"/>
      <c r="I418" s="264"/>
      <c r="J418" s="265"/>
    </row>
    <row r="419" spans="1:31" x14ac:dyDescent="0.2">
      <c r="A419" s="102">
        <v>1</v>
      </c>
      <c r="B419" s="90" t="s">
        <v>51</v>
      </c>
      <c r="C419" s="91" t="s">
        <v>60</v>
      </c>
      <c r="D419" s="90"/>
      <c r="E419" s="103"/>
      <c r="F419" s="100"/>
      <c r="G419" s="263"/>
      <c r="H419" s="264"/>
      <c r="I419" s="264"/>
      <c r="J419" s="265"/>
    </row>
    <row r="420" spans="1:31" x14ac:dyDescent="0.2">
      <c r="A420" s="102">
        <v>2</v>
      </c>
      <c r="B420" s="90" t="s">
        <v>51</v>
      </c>
      <c r="C420" s="91" t="s">
        <v>52</v>
      </c>
      <c r="D420" s="90"/>
      <c r="E420" s="103"/>
      <c r="F420" s="100"/>
      <c r="G420" s="263"/>
      <c r="H420" s="264"/>
      <c r="I420" s="264"/>
      <c r="J420" s="265"/>
    </row>
    <row r="421" spans="1:31" x14ac:dyDescent="0.2">
      <c r="A421" s="102">
        <v>3</v>
      </c>
      <c r="B421" s="90"/>
      <c r="C421" s="91" t="s">
        <v>53</v>
      </c>
      <c r="D421" s="94">
        <f>D422+D423</f>
        <v>0</v>
      </c>
      <c r="E421" s="104">
        <f>E422+E423</f>
        <v>0</v>
      </c>
      <c r="F421" s="100"/>
      <c r="G421" s="263"/>
      <c r="H421" s="264"/>
      <c r="I421" s="264"/>
      <c r="J421" s="265"/>
    </row>
    <row r="422" spans="1:31" x14ac:dyDescent="0.2">
      <c r="A422" s="102">
        <v>4</v>
      </c>
      <c r="B422" s="90" t="s">
        <v>54</v>
      </c>
      <c r="C422" s="91" t="s">
        <v>55</v>
      </c>
      <c r="D422" s="90"/>
      <c r="E422" s="104"/>
      <c r="F422" s="100"/>
      <c r="G422" s="263"/>
      <c r="H422" s="264"/>
      <c r="I422" s="264"/>
      <c r="J422" s="265"/>
    </row>
    <row r="423" spans="1:31" x14ac:dyDescent="0.2">
      <c r="A423" s="102">
        <v>5</v>
      </c>
      <c r="B423" s="90" t="s">
        <v>51</v>
      </c>
      <c r="C423" s="91" t="s">
        <v>56</v>
      </c>
      <c r="D423" s="90"/>
      <c r="E423" s="104"/>
      <c r="F423" s="100"/>
      <c r="G423" s="266"/>
      <c r="H423" s="267"/>
      <c r="I423" s="267"/>
      <c r="J423" s="268"/>
    </row>
    <row r="424" spans="1:31" x14ac:dyDescent="0.2">
      <c r="A424" s="102">
        <v>6</v>
      </c>
      <c r="B424" s="90" t="s">
        <v>54</v>
      </c>
      <c r="C424" s="91" t="s">
        <v>65</v>
      </c>
      <c r="D424" s="90"/>
      <c r="E424" s="104"/>
      <c r="F424" s="100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</row>
    <row r="425" spans="1:31" ht="25.5" x14ac:dyDescent="0.2">
      <c r="A425" s="102">
        <v>7</v>
      </c>
      <c r="B425" s="90" t="s">
        <v>57</v>
      </c>
      <c r="C425" s="92" t="s">
        <v>66</v>
      </c>
      <c r="D425" s="90"/>
      <c r="E425" s="104"/>
      <c r="F425" s="100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</row>
    <row r="426" spans="1:31" ht="25.5" x14ac:dyDescent="0.2">
      <c r="A426" s="102">
        <v>8</v>
      </c>
      <c r="B426" s="90" t="s">
        <v>57</v>
      </c>
      <c r="C426" s="92" t="s">
        <v>67</v>
      </c>
      <c r="D426" s="90"/>
      <c r="E426" s="104"/>
      <c r="F426" s="100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</row>
    <row r="427" spans="1:31" x14ac:dyDescent="0.2">
      <c r="A427" s="102">
        <v>9</v>
      </c>
      <c r="B427" s="90" t="s">
        <v>54</v>
      </c>
      <c r="C427" s="91" t="s">
        <v>62</v>
      </c>
      <c r="D427" s="90"/>
      <c r="E427" s="104"/>
      <c r="F427" s="100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</row>
    <row r="428" spans="1:31" x14ac:dyDescent="0.2">
      <c r="A428" s="102">
        <v>10</v>
      </c>
      <c r="B428" s="90" t="s">
        <v>51</v>
      </c>
      <c r="C428" s="91" t="s">
        <v>58</v>
      </c>
      <c r="D428" s="90"/>
      <c r="E428" s="104"/>
      <c r="F428" s="100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</row>
    <row r="429" spans="1:31" ht="13.5" thickBot="1" x14ac:dyDescent="0.25">
      <c r="A429" s="105">
        <v>11</v>
      </c>
      <c r="B429" s="106" t="s">
        <v>51</v>
      </c>
      <c r="C429" s="107" t="s">
        <v>61</v>
      </c>
      <c r="D429" s="108"/>
      <c r="E429" s="109"/>
      <c r="F429" s="100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</row>
    <row r="430" spans="1:31" ht="13.5" thickBot="1" x14ac:dyDescent="0.25">
      <c r="A430" s="177"/>
      <c r="B430" s="131"/>
      <c r="C430" s="93" t="s">
        <v>59</v>
      </c>
      <c r="D430" s="110">
        <f>D419+D420+D429+(D427*D424)+(D427*D425)+(D427*D426)</f>
        <v>0</v>
      </c>
      <c r="E430" s="110">
        <f>E419+E420+E429+(E427*E424)+(E427*E425)+(E427*E426)</f>
        <v>0</v>
      </c>
      <c r="F430" s="100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</row>
    <row r="431" spans="1:31" x14ac:dyDescent="0.2">
      <c r="B431" s="77"/>
      <c r="C431" s="111" t="s">
        <v>68</v>
      </c>
      <c r="E431" s="112" t="e">
        <f>E429/E422</f>
        <v>#DIV/0!</v>
      </c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</row>
    <row r="432" spans="1:31" x14ac:dyDescent="0.2">
      <c r="B432" s="77"/>
      <c r="C432" s="111" t="s">
        <v>69</v>
      </c>
      <c r="E432" s="170" t="e">
        <f>1-E422/E428</f>
        <v>#DIV/0!</v>
      </c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</row>
    <row r="433" spans="2:31" x14ac:dyDescent="0.2">
      <c r="B433" s="77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</row>
    <row r="434" spans="2:31" x14ac:dyDescent="0.2">
      <c r="B434" s="77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2:31" x14ac:dyDescent="0.2">
      <c r="B435" s="77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2:31" x14ac:dyDescent="0.2">
      <c r="B436" s="77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2:31" x14ac:dyDescent="0.2">
      <c r="B437" s="77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2:31" x14ac:dyDescent="0.2">
      <c r="B438" s="77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2:31" x14ac:dyDescent="0.2">
      <c r="B439" s="77"/>
      <c r="R439" s="74"/>
      <c r="S439" s="74"/>
      <c r="T439" s="74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2:31" x14ac:dyDescent="0.2">
      <c r="B440" s="77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</row>
    <row r="441" spans="2:31" x14ac:dyDescent="0.2">
      <c r="B441" s="77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2:31" x14ac:dyDescent="0.2">
      <c r="B442" s="77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2:31" x14ac:dyDescent="0.2">
      <c r="B443" s="77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2:31" x14ac:dyDescent="0.2">
      <c r="B444" s="77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2:31" x14ac:dyDescent="0.2">
      <c r="B445" s="77"/>
      <c r="R445" s="74"/>
      <c r="S445" s="74"/>
      <c r="T445" s="74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2:31" x14ac:dyDescent="0.2">
      <c r="B446" s="77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2:31" x14ac:dyDescent="0.2">
      <c r="B447" s="77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2:31" x14ac:dyDescent="0.2">
      <c r="B448" s="77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2:31" x14ac:dyDescent="0.2">
      <c r="B449" s="77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2:31" x14ac:dyDescent="0.2">
      <c r="B450" s="77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2:31" x14ac:dyDescent="0.2">
      <c r="B451" s="77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2:31" x14ac:dyDescent="0.2">
      <c r="B452" s="77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2:31" x14ac:dyDescent="0.2">
      <c r="B453" s="77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2:31" x14ac:dyDescent="0.2">
      <c r="B454" s="77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2:31" x14ac:dyDescent="0.2">
      <c r="B455" s="77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2:31" x14ac:dyDescent="0.2">
      <c r="B456" s="7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2:31" x14ac:dyDescent="0.2">
      <c r="B457" s="7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2:31" x14ac:dyDescent="0.2">
      <c r="B458" s="7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2:31" x14ac:dyDescent="0.2">
      <c r="B459" s="7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2:31" x14ac:dyDescent="0.2">
      <c r="B460" s="7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2:31" x14ac:dyDescent="0.2">
      <c r="B461" s="7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2:31" x14ac:dyDescent="0.2">
      <c r="B462" s="7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2:31" x14ac:dyDescent="0.2">
      <c r="B463" s="7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2:31" x14ac:dyDescent="0.2">
      <c r="B464" s="7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2:31" x14ac:dyDescent="0.2">
      <c r="B465" s="7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2:31" x14ac:dyDescent="0.2">
      <c r="B466" s="7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2:31" x14ac:dyDescent="0.2">
      <c r="B467" s="7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2:31" x14ac:dyDescent="0.2">
      <c r="B468" s="7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2:31" x14ac:dyDescent="0.2">
      <c r="B469" s="7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2:31" x14ac:dyDescent="0.2">
      <c r="B470" s="7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2:31" x14ac:dyDescent="0.2">
      <c r="B471" s="7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2:31" x14ac:dyDescent="0.2">
      <c r="B472" s="77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2:31" x14ac:dyDescent="0.2">
      <c r="B473" s="77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2:31" x14ac:dyDescent="0.2">
      <c r="B474" s="77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2:31" x14ac:dyDescent="0.2">
      <c r="B475" s="77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2:31" x14ac:dyDescent="0.2">
      <c r="B476" s="77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2:31" x14ac:dyDescent="0.2">
      <c r="B477" s="77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2:31" x14ac:dyDescent="0.2">
      <c r="B478" s="77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2:31" x14ac:dyDescent="0.2">
      <c r="B479" s="77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2:31" x14ac:dyDescent="0.2">
      <c r="B480" s="77"/>
      <c r="S480" s="75" t="e">
        <f>#REF!-R480</f>
        <v>#REF!</v>
      </c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2:31" x14ac:dyDescent="0.2">
      <c r="B481" s="77"/>
      <c r="S481" s="75" t="e">
        <f>#REF!-R481</f>
        <v>#REF!</v>
      </c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2:31" x14ac:dyDescent="0.2">
      <c r="B482" s="77"/>
      <c r="S482" s="75" t="e">
        <f>#REF!-R482</f>
        <v>#REF!</v>
      </c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2:31" x14ac:dyDescent="0.2">
      <c r="B483" s="77"/>
      <c r="S483" s="75" t="e">
        <f>#REF!-R483</f>
        <v>#REF!</v>
      </c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2:31" x14ac:dyDescent="0.2">
      <c r="B484" s="77"/>
      <c r="S484" s="75" t="e">
        <f>#REF!-R484</f>
        <v>#REF!</v>
      </c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2:31" x14ac:dyDescent="0.2">
      <c r="B485" s="77"/>
      <c r="S485" s="75" t="e">
        <f>#REF!-R485</f>
        <v>#REF!</v>
      </c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2:31" x14ac:dyDescent="0.2">
      <c r="B486" s="77"/>
      <c r="S486" s="75" t="e">
        <f>#REF!-R486</f>
        <v>#REF!</v>
      </c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2:31" x14ac:dyDescent="0.2">
      <c r="B487" s="77"/>
      <c r="S487" s="75" t="e">
        <f>#REF!-R487</f>
        <v>#REF!</v>
      </c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2:31" x14ac:dyDescent="0.2">
      <c r="B488" s="77"/>
      <c r="S488" s="75" t="e">
        <f>#REF!-R488</f>
        <v>#REF!</v>
      </c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2:31" x14ac:dyDescent="0.2">
      <c r="B489" s="77"/>
      <c r="S489" s="75" t="e">
        <f>#REF!-R489</f>
        <v>#REF!</v>
      </c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2:31" x14ac:dyDescent="0.2">
      <c r="B490" s="77"/>
      <c r="S490" s="75" t="e">
        <f>#REF!-R490</f>
        <v>#REF!</v>
      </c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2:31" x14ac:dyDescent="0.2">
      <c r="B491" s="77"/>
      <c r="S491" s="75" t="e">
        <f>#REF!-R491</f>
        <v>#REF!</v>
      </c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2:31" x14ac:dyDescent="0.2">
      <c r="B492" s="77"/>
      <c r="S492" s="75" t="e">
        <f>#REF!-R492</f>
        <v>#REF!</v>
      </c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2:31" x14ac:dyDescent="0.2">
      <c r="B493" s="77"/>
      <c r="S493" s="75" t="e">
        <f>#REF!-R493</f>
        <v>#REF!</v>
      </c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2:31" x14ac:dyDescent="0.2">
      <c r="B494" s="77"/>
      <c r="S494" s="75" t="e">
        <f>#REF!-R494</f>
        <v>#REF!</v>
      </c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2:31" x14ac:dyDescent="0.2">
      <c r="B495" s="77"/>
      <c r="S495" s="75" t="e">
        <f>#REF!-R495</f>
        <v>#REF!</v>
      </c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2:31" x14ac:dyDescent="0.2">
      <c r="B496" s="77"/>
      <c r="S496" s="75" t="e">
        <f>#REF!-R496</f>
        <v>#REF!</v>
      </c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2:31" x14ac:dyDescent="0.2">
      <c r="B497" s="77"/>
      <c r="S497" s="75" t="e">
        <f>#REF!-R497</f>
        <v>#REF!</v>
      </c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</row>
    <row r="498" spans="2:31" x14ac:dyDescent="0.2">
      <c r="B498" s="77"/>
      <c r="S498" s="75" t="e">
        <f>#REF!-R498</f>
        <v>#REF!</v>
      </c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2:31" x14ac:dyDescent="0.2">
      <c r="B499" s="77"/>
      <c r="S499" s="75" t="e">
        <f>#REF!-R499</f>
        <v>#REF!</v>
      </c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2:31" x14ac:dyDescent="0.2">
      <c r="B500" s="77"/>
      <c r="S500" s="75" t="e">
        <f>#REF!-R500</f>
        <v>#REF!</v>
      </c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2:31" x14ac:dyDescent="0.2">
      <c r="B501" s="77"/>
      <c r="S501" s="75" t="e">
        <f>#REF!-R501</f>
        <v>#REF!</v>
      </c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</row>
    <row r="502" spans="2:31" x14ac:dyDescent="0.2">
      <c r="S502" s="75" t="e">
        <f>#REF!-R502</f>
        <v>#REF!</v>
      </c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</row>
    <row r="503" spans="2:31" x14ac:dyDescent="0.2">
      <c r="S503" s="75" t="e">
        <f>#REF!-R503</f>
        <v>#REF!</v>
      </c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</row>
    <row r="504" spans="2:31" x14ac:dyDescent="0.2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S504" s="75" t="e">
        <f>#REF!-R504</f>
        <v>#REF!</v>
      </c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</row>
    <row r="505" spans="2:31" x14ac:dyDescent="0.2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S505" s="75" t="e">
        <f>#REF!-R505</f>
        <v>#REF!</v>
      </c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</row>
    <row r="506" spans="2:31" x14ac:dyDescent="0.2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63"/>
      <c r="S506" s="63"/>
      <c r="T506" s="63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</row>
    <row r="507" spans="2:31" x14ac:dyDescent="0.2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63"/>
      <c r="S507" s="63"/>
      <c r="T507" s="63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</row>
    <row r="508" spans="2:31" x14ac:dyDescent="0.2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63"/>
      <c r="S508" s="63"/>
      <c r="T508" s="63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</row>
    <row r="510" spans="2:31" x14ac:dyDescent="0.2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74"/>
      <c r="S510" s="74"/>
      <c r="T510" s="74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</row>
    <row r="511" spans="2:31" x14ac:dyDescent="0.2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74"/>
      <c r="S511" s="74"/>
      <c r="T511" s="74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</row>
    <row r="512" spans="2:31" x14ac:dyDescent="0.2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74"/>
      <c r="S512" s="74"/>
      <c r="T512" s="74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</row>
    <row r="513" spans="2:31" x14ac:dyDescent="0.2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74"/>
      <c r="S513" s="74"/>
      <c r="T513" s="74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</row>
    <row r="514" spans="2:31" x14ac:dyDescent="0.2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74"/>
      <c r="S514" s="74"/>
      <c r="T514" s="74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</row>
    <row r="515" spans="2:31" x14ac:dyDescent="0.2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74"/>
      <c r="S515" s="74"/>
      <c r="T515" s="74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</row>
  </sheetData>
  <sheetProtection formatCells="0" sort="0" autoFilter="0" pivotTables="0"/>
  <autoFilter ref="A6:CO404"/>
  <mergeCells count="10">
    <mergeCell ref="C410:D414"/>
    <mergeCell ref="G412:J423"/>
    <mergeCell ref="G1:H1"/>
    <mergeCell ref="G2:I2"/>
    <mergeCell ref="D4:F4"/>
    <mergeCell ref="Q4:R4"/>
    <mergeCell ref="C5:D5"/>
    <mergeCell ref="F5:G5"/>
    <mergeCell ref="K5:L5"/>
    <mergeCell ref="O5:P5"/>
  </mergeCells>
  <conditionalFormatting sqref="N400:N405">
    <cfRule type="expression" dxfId="310" priority="145" stopIfTrue="1">
      <formula>IF(AND(ISBLANK(N400),IF(L400&lt;TODAY(),TRUE,FALSE))=FALSE,FALSE,TRUE)</formula>
    </cfRule>
    <cfRule type="expression" dxfId="309" priority="146" stopIfTrue="1">
      <formula>IF(AND(IF(M400="",FALSE,TRUE),IF(N400="",FALSE,TRUE))=TRUE,TRUE,FALSE)</formula>
    </cfRule>
  </conditionalFormatting>
  <conditionalFormatting sqref="O400:O405">
    <cfRule type="expression" dxfId="308" priority="144" stopIfTrue="1">
      <formula>IF(OR(ISNUMBER(O400),ISBLANK(F400)),FALSE,TRUE)</formula>
    </cfRule>
  </conditionalFormatting>
  <conditionalFormatting sqref="L400:L405">
    <cfRule type="expression" dxfId="307" priority="141" stopIfTrue="1">
      <formula>IF(AND(IF(L400&lt;TODAY(),TRUE,FALSE),ISBLANK(N400)),TRUE,FALSE)</formula>
    </cfRule>
    <cfRule type="expression" dxfId="306" priority="142" stopIfTrue="1">
      <formula>IF(AND(IF(M400="",FALSE,TRUE),IF(N400="",FALSE,TRUE))=TRUE,TRUE,FALSE)</formula>
    </cfRule>
    <cfRule type="expression" dxfId="305" priority="143" stopIfTrue="1">
      <formula>IF(AND(IF(L400&lt;TODAY(),TRUE,FALSE),ISBLANK(M400)),TRUE,FALSE)</formula>
    </cfRule>
  </conditionalFormatting>
  <conditionalFormatting sqref="M400:M405">
    <cfRule type="expression" dxfId="304" priority="138" stopIfTrue="1">
      <formula>IF(AND(IF(M400="",FALSE,TRUE),IF(N400="",FALSE,TRUE))=TRUE,TRUE,FALSE)</formula>
    </cfRule>
    <cfRule type="expression" dxfId="303" priority="139" stopIfTrue="1">
      <formula>IF(AND(ISBLANK(M400),IF(L400&lt;TODAY(),TRUE,FALSE))=FALSE,FALSE,TRUE)</formula>
    </cfRule>
    <cfRule type="expression" dxfId="302" priority="140" stopIfTrue="1">
      <formula>IF(AND(IF(L400="",FALSE,TRUE),IF(M400="",FALSE,TRUE))=FALSE,TRUE,FALSE)</formula>
    </cfRule>
  </conditionalFormatting>
  <conditionalFormatting sqref="I404:I405 Q400:Q405">
    <cfRule type="cellIs" dxfId="301" priority="137" stopIfTrue="1" operator="greaterThan">
      <formula>0</formula>
    </cfRule>
  </conditionalFormatting>
  <conditionalFormatting sqref="P406:P407">
    <cfRule type="expression" dxfId="300" priority="136" stopIfTrue="1">
      <formula>IF(P406="",FALSE,TRUE)</formula>
    </cfRule>
  </conditionalFormatting>
  <conditionalFormatting sqref="I308 I373:I376 I384:I386 I378:I382 I328 I330 I354:I356 I303:I304 I400:I403 I332:I350 I8:I298">
    <cfRule type="cellIs" dxfId="299" priority="135" stopIfTrue="1" operator="greaterThan">
      <formula>0</formula>
    </cfRule>
  </conditionalFormatting>
  <conditionalFormatting sqref="I305:I307">
    <cfRule type="cellIs" dxfId="298" priority="133" stopIfTrue="1" operator="greaterThan">
      <formula>0</formula>
    </cfRule>
  </conditionalFormatting>
  <conditionalFormatting sqref="I309:I323 I325 I327">
    <cfRule type="cellIs" dxfId="297" priority="132" stopIfTrue="1" operator="greaterThan">
      <formula>0</formula>
    </cfRule>
  </conditionalFormatting>
  <conditionalFormatting sqref="I357 I366:I372 I360:I364">
    <cfRule type="cellIs" dxfId="296" priority="131" stopIfTrue="1" operator="greaterThan">
      <formula>0</formula>
    </cfRule>
  </conditionalFormatting>
  <conditionalFormatting sqref="I365">
    <cfRule type="cellIs" dxfId="295" priority="126" stopIfTrue="1" operator="greaterThan">
      <formula>0</formula>
    </cfRule>
  </conditionalFormatting>
  <conditionalFormatting sqref="I358">
    <cfRule type="cellIs" dxfId="294" priority="125" stopIfTrue="1" operator="greaterThan">
      <formula>0</formula>
    </cfRule>
  </conditionalFormatting>
  <conditionalFormatting sqref="I359">
    <cfRule type="cellIs" dxfId="293" priority="124" stopIfTrue="1" operator="greaterThan">
      <formula>0</formula>
    </cfRule>
  </conditionalFormatting>
  <conditionalFormatting sqref="I383">
    <cfRule type="cellIs" dxfId="292" priority="122" stopIfTrue="1" operator="greaterThan">
      <formula>0</formula>
    </cfRule>
  </conditionalFormatting>
  <conditionalFormatting sqref="I377">
    <cfRule type="cellIs" dxfId="291" priority="121" stopIfTrue="1" operator="greaterThan">
      <formula>0</formula>
    </cfRule>
  </conditionalFormatting>
  <conditionalFormatting sqref="I324">
    <cfRule type="cellIs" dxfId="290" priority="119" stopIfTrue="1" operator="greaterThan">
      <formula>0</formula>
    </cfRule>
  </conditionalFormatting>
  <conditionalFormatting sqref="I326">
    <cfRule type="cellIs" dxfId="289" priority="118" stopIfTrue="1" operator="greaterThan">
      <formula>0</formula>
    </cfRule>
  </conditionalFormatting>
  <conditionalFormatting sqref="I331">
    <cfRule type="cellIs" dxfId="288" priority="117" stopIfTrue="1" operator="greaterThan">
      <formula>0</formula>
    </cfRule>
  </conditionalFormatting>
  <conditionalFormatting sqref="I329">
    <cfRule type="cellIs" dxfId="287" priority="116" stopIfTrue="1" operator="greaterThan">
      <formula>0</formula>
    </cfRule>
  </conditionalFormatting>
  <conditionalFormatting sqref="I351:I353">
    <cfRule type="cellIs" dxfId="286" priority="110" stopIfTrue="1" operator="greaterThan">
      <formula>0</formula>
    </cfRule>
  </conditionalFormatting>
  <conditionalFormatting sqref="I299:I302">
    <cfRule type="cellIs" dxfId="285" priority="109" stopIfTrue="1" operator="greaterThan">
      <formula>0</formula>
    </cfRule>
  </conditionalFormatting>
  <conditionalFormatting sqref="I393">
    <cfRule type="cellIs" dxfId="284" priority="87" stopIfTrue="1" operator="greaterThan">
      <formula>0</formula>
    </cfRule>
  </conditionalFormatting>
  <conditionalFormatting sqref="I394">
    <cfRule type="cellIs" dxfId="283" priority="76" stopIfTrue="1" operator="greaterThan">
      <formula>0</formula>
    </cfRule>
  </conditionalFormatting>
  <conditionalFormatting sqref="I395">
    <cfRule type="cellIs" dxfId="282" priority="75" stopIfTrue="1" operator="greaterThan">
      <formula>0</formula>
    </cfRule>
  </conditionalFormatting>
  <conditionalFormatting sqref="I396:I399">
    <cfRule type="cellIs" dxfId="281" priority="64" stopIfTrue="1" operator="greaterThan">
      <formula>0</formula>
    </cfRule>
  </conditionalFormatting>
  <conditionalFormatting sqref="N387:N392">
    <cfRule type="expression" dxfId="280" priority="98" stopIfTrue="1">
      <formula>IF(AND(ISBLANK(N387),IF(L387&lt;TODAY(),TRUE,FALSE))=FALSE,FALSE,TRUE)</formula>
    </cfRule>
    <cfRule type="expression" dxfId="279" priority="99" stopIfTrue="1">
      <formula>IF(AND(IF(M387="",FALSE,TRUE),IF(N387="",FALSE,TRUE))=TRUE,TRUE,FALSE)</formula>
    </cfRule>
  </conditionalFormatting>
  <conditionalFormatting sqref="O387:O392">
    <cfRule type="expression" dxfId="278" priority="100" stopIfTrue="1">
      <formula>IF(OR(ISNUMBER(O387),ISBLANK(F387)),FALSE,TRUE)</formula>
    </cfRule>
  </conditionalFormatting>
  <conditionalFormatting sqref="L387:L392">
    <cfRule type="expression" dxfId="277" priority="101" stopIfTrue="1">
      <formula>IF(AND(IF(L387&lt;TODAY(),TRUE,FALSE),ISBLANK(N387)),TRUE,FALSE)</formula>
    </cfRule>
    <cfRule type="expression" dxfId="276" priority="102" stopIfTrue="1">
      <formula>IF(AND(IF(M387="",FALSE,TRUE),IF(N387="",FALSE,TRUE))=TRUE,TRUE,FALSE)</formula>
    </cfRule>
    <cfRule type="expression" dxfId="275" priority="103" stopIfTrue="1">
      <formula>IF(AND(IF(L387&lt;TODAY(),TRUE,FALSE),ISBLANK(M387)),TRUE,FALSE)</formula>
    </cfRule>
  </conditionalFormatting>
  <conditionalFormatting sqref="M387:M392">
    <cfRule type="expression" dxfId="274" priority="104" stopIfTrue="1">
      <formula>IF(AND(IF(M387="",FALSE,TRUE),IF(N387="",FALSE,TRUE))=TRUE,TRUE,FALSE)</formula>
    </cfRule>
    <cfRule type="expression" dxfId="273" priority="105" stopIfTrue="1">
      <formula>IF(AND(ISBLANK(M387),IF(L387&lt;TODAY(),TRUE,FALSE))=FALSE,FALSE,TRUE)</formula>
    </cfRule>
    <cfRule type="expression" dxfId="272" priority="106" stopIfTrue="1">
      <formula>IF(AND(IF(L387="",FALSE,TRUE),IF(M387="",FALSE,TRUE))=FALSE,TRUE,FALSE)</formula>
    </cfRule>
  </conditionalFormatting>
  <conditionalFormatting sqref="Q387:Q392">
    <cfRule type="cellIs" dxfId="271" priority="107" stopIfTrue="1" operator="greaterThan">
      <formula>0</formula>
    </cfRule>
  </conditionalFormatting>
  <conditionalFormatting sqref="N393">
    <cfRule type="expression" dxfId="270" priority="96" stopIfTrue="1">
      <formula>IF(AND(ISBLANK(N393),IF(L393&lt;TODAY(),TRUE,FALSE))=FALSE,FALSE,TRUE)</formula>
    </cfRule>
    <cfRule type="expression" dxfId="269" priority="97" stopIfTrue="1">
      <formula>IF(AND(IF(M393="",FALSE,TRUE),IF(N393="",FALSE,TRUE))=TRUE,TRUE,FALSE)</formula>
    </cfRule>
  </conditionalFormatting>
  <conditionalFormatting sqref="O393">
    <cfRule type="expression" dxfId="268" priority="95" stopIfTrue="1">
      <formula>IF(OR(ISNUMBER(O393),ISBLANK(F393)),FALSE,TRUE)</formula>
    </cfRule>
  </conditionalFormatting>
  <conditionalFormatting sqref="L393">
    <cfRule type="expression" dxfId="267" priority="92" stopIfTrue="1">
      <formula>IF(AND(IF(L393&lt;TODAY(),TRUE,FALSE),ISBLANK(N393)),TRUE,FALSE)</formula>
    </cfRule>
    <cfRule type="expression" dxfId="266" priority="93" stopIfTrue="1">
      <formula>IF(AND(IF(M393="",FALSE,TRUE),IF(N393="",FALSE,TRUE))=TRUE,TRUE,FALSE)</formula>
    </cfRule>
    <cfRule type="expression" dxfId="265" priority="94" stopIfTrue="1">
      <formula>IF(AND(IF(L393&lt;TODAY(),TRUE,FALSE),ISBLANK(M393)),TRUE,FALSE)</formula>
    </cfRule>
  </conditionalFormatting>
  <conditionalFormatting sqref="M393">
    <cfRule type="expression" dxfId="264" priority="89" stopIfTrue="1">
      <formula>IF(AND(IF(M393="",FALSE,TRUE),IF(N393="",FALSE,TRUE))=TRUE,TRUE,FALSE)</formula>
    </cfRule>
    <cfRule type="expression" dxfId="263" priority="90" stopIfTrue="1">
      <formula>IF(AND(ISBLANK(M393),IF(L393&lt;TODAY(),TRUE,FALSE))=FALSE,FALSE,TRUE)</formula>
    </cfRule>
    <cfRule type="expression" dxfId="262" priority="91" stopIfTrue="1">
      <formula>IF(AND(IF(L393="",FALSE,TRUE),IF(M393="",FALSE,TRUE))=FALSE,TRUE,FALSE)</formula>
    </cfRule>
  </conditionalFormatting>
  <conditionalFormatting sqref="Q393">
    <cfRule type="cellIs" dxfId="261" priority="88" stopIfTrue="1" operator="greaterThan">
      <formula>0</formula>
    </cfRule>
  </conditionalFormatting>
  <conditionalFormatting sqref="N394:N395">
    <cfRule type="expression" dxfId="260" priority="85" stopIfTrue="1">
      <formula>IF(AND(ISBLANK(N394),IF(L394&lt;TODAY(),TRUE,FALSE))=FALSE,FALSE,TRUE)</formula>
    </cfRule>
    <cfRule type="expression" dxfId="259" priority="86" stopIfTrue="1">
      <formula>IF(AND(IF(M394="",FALSE,TRUE),IF(N394="",FALSE,TRUE))=TRUE,TRUE,FALSE)</formula>
    </cfRule>
  </conditionalFormatting>
  <conditionalFormatting sqref="O394:O395">
    <cfRule type="expression" dxfId="258" priority="84" stopIfTrue="1">
      <formula>IF(OR(ISNUMBER(O394),ISBLANK(F394)),FALSE,TRUE)</formula>
    </cfRule>
  </conditionalFormatting>
  <conditionalFormatting sqref="L394:L395">
    <cfRule type="expression" dxfId="257" priority="81" stopIfTrue="1">
      <formula>IF(AND(IF(L394&lt;TODAY(),TRUE,FALSE),ISBLANK(N394)),TRUE,FALSE)</formula>
    </cfRule>
    <cfRule type="expression" dxfId="256" priority="82" stopIfTrue="1">
      <formula>IF(AND(IF(M394="",FALSE,TRUE),IF(N394="",FALSE,TRUE))=TRUE,TRUE,FALSE)</formula>
    </cfRule>
    <cfRule type="expression" dxfId="255" priority="83" stopIfTrue="1">
      <formula>IF(AND(IF(L394&lt;TODAY(),TRUE,FALSE),ISBLANK(M394)),TRUE,FALSE)</formula>
    </cfRule>
  </conditionalFormatting>
  <conditionalFormatting sqref="M394:M395">
    <cfRule type="expression" dxfId="254" priority="78" stopIfTrue="1">
      <formula>IF(AND(IF(M394="",FALSE,TRUE),IF(N394="",FALSE,TRUE))=TRUE,TRUE,FALSE)</formula>
    </cfRule>
    <cfRule type="expression" dxfId="253" priority="79" stopIfTrue="1">
      <formula>IF(AND(ISBLANK(M394),IF(L394&lt;TODAY(),TRUE,FALSE))=FALSE,FALSE,TRUE)</formula>
    </cfRule>
    <cfRule type="expression" dxfId="252" priority="80" stopIfTrue="1">
      <formula>IF(AND(IF(L394="",FALSE,TRUE),IF(M394="",FALSE,TRUE))=FALSE,TRUE,FALSE)</formula>
    </cfRule>
  </conditionalFormatting>
  <conditionalFormatting sqref="Q394:Q395">
    <cfRule type="cellIs" dxfId="251" priority="77" stopIfTrue="1" operator="greaterThan">
      <formula>0</formula>
    </cfRule>
  </conditionalFormatting>
  <conditionalFormatting sqref="N396:N399">
    <cfRule type="expression" dxfId="250" priority="73" stopIfTrue="1">
      <formula>IF(AND(ISBLANK(N396),IF(L396&lt;TODAY(),TRUE,FALSE))=FALSE,FALSE,TRUE)</formula>
    </cfRule>
    <cfRule type="expression" dxfId="249" priority="74" stopIfTrue="1">
      <formula>IF(AND(IF(M396="",FALSE,TRUE),IF(N396="",FALSE,TRUE))=TRUE,TRUE,FALSE)</formula>
    </cfRule>
  </conditionalFormatting>
  <conditionalFormatting sqref="O396:O399">
    <cfRule type="expression" dxfId="248" priority="72" stopIfTrue="1">
      <formula>IF(OR(ISNUMBER(O396),ISBLANK(F396)),FALSE,TRUE)</formula>
    </cfRule>
  </conditionalFormatting>
  <conditionalFormatting sqref="L396:L399">
    <cfRule type="expression" dxfId="247" priority="69" stopIfTrue="1">
      <formula>IF(AND(IF(L396&lt;TODAY(),TRUE,FALSE),ISBLANK(N396)),TRUE,FALSE)</formula>
    </cfRule>
    <cfRule type="expression" dxfId="246" priority="70" stopIfTrue="1">
      <formula>IF(AND(IF(M396="",FALSE,TRUE),IF(N396="",FALSE,TRUE))=TRUE,TRUE,FALSE)</formula>
    </cfRule>
    <cfRule type="expression" dxfId="245" priority="71" stopIfTrue="1">
      <formula>IF(AND(IF(L396&lt;TODAY(),TRUE,FALSE),ISBLANK(M396)),TRUE,FALSE)</formula>
    </cfRule>
  </conditionalFormatting>
  <conditionalFormatting sqref="M396:M399">
    <cfRule type="expression" dxfId="244" priority="66" stopIfTrue="1">
      <formula>IF(AND(IF(M396="",FALSE,TRUE),IF(N396="",FALSE,TRUE))=TRUE,TRUE,FALSE)</formula>
    </cfRule>
    <cfRule type="expression" dxfId="243" priority="67" stopIfTrue="1">
      <formula>IF(AND(ISBLANK(M396),IF(L396&lt;TODAY(),TRUE,FALSE))=FALSE,FALSE,TRUE)</formula>
    </cfRule>
    <cfRule type="expression" dxfId="242" priority="68" stopIfTrue="1">
      <formula>IF(AND(IF(L396="",FALSE,TRUE),IF(M396="",FALSE,TRUE))=FALSE,TRUE,FALSE)</formula>
    </cfRule>
  </conditionalFormatting>
  <conditionalFormatting sqref="Q396:Q399">
    <cfRule type="cellIs" dxfId="241" priority="65" stopIfTrue="1" operator="greaterThan">
      <formula>0</formula>
    </cfRule>
  </conditionalFormatting>
  <conditionalFormatting sqref="I313">
    <cfRule type="cellIs" dxfId="240" priority="58" stopIfTrue="1" operator="greaterThan">
      <formula>0</formula>
    </cfRule>
  </conditionalFormatting>
  <conditionalFormatting sqref="I318">
    <cfRule type="cellIs" dxfId="239" priority="57" stopIfTrue="1" operator="greaterThan">
      <formula>0</formula>
    </cfRule>
  </conditionalFormatting>
  <conditionalFormatting sqref="I370">
    <cfRule type="cellIs" dxfId="238" priority="56" stopIfTrue="1" operator="greaterThan">
      <formula>0</formula>
    </cfRule>
  </conditionalFormatting>
  <conditionalFormatting sqref="N370">
    <cfRule type="expression" dxfId="237" priority="54" stopIfTrue="1">
      <formula>IF(AND(ISBLANK(N370),IF(L370&lt;TODAY(),TRUE,FALSE))=FALSE,FALSE,TRUE)</formula>
    </cfRule>
    <cfRule type="expression" dxfId="236" priority="55" stopIfTrue="1">
      <formula>IF(AND(IF(M370="",FALSE,TRUE),IF(N370="",FALSE,TRUE))=TRUE,TRUE,FALSE)</formula>
    </cfRule>
  </conditionalFormatting>
  <conditionalFormatting sqref="O370">
    <cfRule type="expression" dxfId="235" priority="53" stopIfTrue="1">
      <formula>IF(OR(ISNUMBER(O370),ISBLANK(F370)),FALSE,TRUE)</formula>
    </cfRule>
  </conditionalFormatting>
  <conditionalFormatting sqref="L370">
    <cfRule type="expression" dxfId="234" priority="50" stopIfTrue="1">
      <formula>IF(AND(IF(L370&lt;TODAY(),TRUE,FALSE),ISBLANK(N370)),TRUE,FALSE)</formula>
    </cfRule>
    <cfRule type="expression" dxfId="233" priority="51" stopIfTrue="1">
      <formula>IF(AND(IF(M370="",FALSE,TRUE),IF(N370="",FALSE,TRUE))=TRUE,TRUE,FALSE)</formula>
    </cfRule>
    <cfRule type="expression" dxfId="232" priority="52" stopIfTrue="1">
      <formula>IF(AND(IF(L370&lt;TODAY(),TRUE,FALSE),ISBLANK(M370)),TRUE,FALSE)</formula>
    </cfRule>
  </conditionalFormatting>
  <conditionalFormatting sqref="M370">
    <cfRule type="expression" dxfId="231" priority="47" stopIfTrue="1">
      <formula>IF(AND(IF(M370="",FALSE,TRUE),IF(N370="",FALSE,TRUE))=TRUE,TRUE,FALSE)</formula>
    </cfRule>
    <cfRule type="expression" dxfId="230" priority="48" stopIfTrue="1">
      <formula>IF(AND(ISBLANK(M370),IF(L370&lt;TODAY(),TRUE,FALSE))=FALSE,FALSE,TRUE)</formula>
    </cfRule>
    <cfRule type="expression" dxfId="229" priority="49" stopIfTrue="1">
      <formula>IF(AND(IF(L370="",FALSE,TRUE),IF(M370="",FALSE,TRUE))=FALSE,TRUE,FALSE)</formula>
    </cfRule>
  </conditionalFormatting>
  <conditionalFormatting sqref="Q370">
    <cfRule type="cellIs" dxfId="228" priority="46" stopIfTrue="1" operator="greaterThan">
      <formula>0</formula>
    </cfRule>
  </conditionalFormatting>
  <conditionalFormatting sqref="I370">
    <cfRule type="cellIs" dxfId="227" priority="45" stopIfTrue="1" operator="greaterThan">
      <formula>0</formula>
    </cfRule>
  </conditionalFormatting>
  <conditionalFormatting sqref="N401:N403">
    <cfRule type="expression" dxfId="226" priority="43" stopIfTrue="1">
      <formula>IF(AND(ISBLANK(N401),IF(L401&lt;TODAY(),TRUE,FALSE))=FALSE,FALSE,TRUE)</formula>
    </cfRule>
    <cfRule type="expression" dxfId="225" priority="44" stopIfTrue="1">
      <formula>IF(AND(IF(M401="",FALSE,TRUE),IF(N401="",FALSE,TRUE))=TRUE,TRUE,FALSE)</formula>
    </cfRule>
  </conditionalFormatting>
  <conditionalFormatting sqref="O401:O403">
    <cfRule type="expression" dxfId="224" priority="42" stopIfTrue="1">
      <formula>IF(OR(ISNUMBER(O401),ISBLANK(F401)),FALSE,TRUE)</formula>
    </cfRule>
  </conditionalFormatting>
  <conditionalFormatting sqref="L401:L403">
    <cfRule type="expression" dxfId="223" priority="39" stopIfTrue="1">
      <formula>IF(AND(IF(L401&lt;TODAY(),TRUE,FALSE),ISBLANK(N401)),TRUE,FALSE)</formula>
    </cfRule>
    <cfRule type="expression" dxfId="222" priority="40" stopIfTrue="1">
      <formula>IF(AND(IF(M401="",FALSE,TRUE),IF(N401="",FALSE,TRUE))=TRUE,TRUE,FALSE)</formula>
    </cfRule>
    <cfRule type="expression" dxfId="221" priority="41" stopIfTrue="1">
      <formula>IF(AND(IF(L401&lt;TODAY(),TRUE,FALSE),ISBLANK(M401)),TRUE,FALSE)</formula>
    </cfRule>
  </conditionalFormatting>
  <conditionalFormatting sqref="M401:M403">
    <cfRule type="expression" dxfId="220" priority="36" stopIfTrue="1">
      <formula>IF(AND(IF(M401="",FALSE,TRUE),IF(N401="",FALSE,TRUE))=TRUE,TRUE,FALSE)</formula>
    </cfRule>
    <cfRule type="expression" dxfId="219" priority="37" stopIfTrue="1">
      <formula>IF(AND(ISBLANK(M401),IF(L401&lt;TODAY(),TRUE,FALSE))=FALSE,FALSE,TRUE)</formula>
    </cfRule>
    <cfRule type="expression" dxfId="218" priority="38" stopIfTrue="1">
      <formula>IF(AND(IF(L401="",FALSE,TRUE),IF(M401="",FALSE,TRUE))=FALSE,TRUE,FALSE)</formula>
    </cfRule>
  </conditionalFormatting>
  <conditionalFormatting sqref="Q401:Q403">
    <cfRule type="cellIs" dxfId="217" priority="35" stopIfTrue="1" operator="greaterThan">
      <formula>0</formula>
    </cfRule>
  </conditionalFormatting>
  <conditionalFormatting sqref="I401:I403">
    <cfRule type="cellIs" dxfId="216" priority="34" stopIfTrue="1" operator="greaterThan">
      <formula>0</formula>
    </cfRule>
  </conditionalFormatting>
  <conditionalFormatting sqref="N401:N403">
    <cfRule type="expression" dxfId="215" priority="32" stopIfTrue="1">
      <formula>IF(AND(ISBLANK(N401),IF(L401&lt;TODAY(),TRUE,FALSE))=FALSE,FALSE,TRUE)</formula>
    </cfRule>
    <cfRule type="expression" dxfId="214" priority="33" stopIfTrue="1">
      <formula>IF(AND(IF(M401="",FALSE,TRUE),IF(N401="",FALSE,TRUE))=TRUE,TRUE,FALSE)</formula>
    </cfRule>
  </conditionalFormatting>
  <conditionalFormatting sqref="O401:O403">
    <cfRule type="expression" dxfId="213" priority="31" stopIfTrue="1">
      <formula>IF(OR(ISNUMBER(O401),ISBLANK(F401)),FALSE,TRUE)</formula>
    </cfRule>
  </conditionalFormatting>
  <conditionalFormatting sqref="L401:L403">
    <cfRule type="expression" dxfId="212" priority="28" stopIfTrue="1">
      <formula>IF(AND(IF(L401&lt;TODAY(),TRUE,FALSE),ISBLANK(N401)),TRUE,FALSE)</formula>
    </cfRule>
    <cfRule type="expression" dxfId="211" priority="29" stopIfTrue="1">
      <formula>IF(AND(IF(M401="",FALSE,TRUE),IF(N401="",FALSE,TRUE))=TRUE,TRUE,FALSE)</formula>
    </cfRule>
    <cfRule type="expression" dxfId="210" priority="30" stopIfTrue="1">
      <formula>IF(AND(IF(L401&lt;TODAY(),TRUE,FALSE),ISBLANK(M401)),TRUE,FALSE)</formula>
    </cfRule>
  </conditionalFormatting>
  <conditionalFormatting sqref="M401:M403">
    <cfRule type="expression" dxfId="209" priority="25" stopIfTrue="1">
      <formula>IF(AND(IF(M401="",FALSE,TRUE),IF(N401="",FALSE,TRUE))=TRUE,TRUE,FALSE)</formula>
    </cfRule>
    <cfRule type="expression" dxfId="208" priority="26" stopIfTrue="1">
      <formula>IF(AND(ISBLANK(M401),IF(L401&lt;TODAY(),TRUE,FALSE))=FALSE,FALSE,TRUE)</formula>
    </cfRule>
    <cfRule type="expression" dxfId="207" priority="27" stopIfTrue="1">
      <formula>IF(AND(IF(L401="",FALSE,TRUE),IF(M401="",FALSE,TRUE))=FALSE,TRUE,FALSE)</formula>
    </cfRule>
  </conditionalFormatting>
  <conditionalFormatting sqref="Q401:Q403">
    <cfRule type="cellIs" dxfId="206" priority="24" stopIfTrue="1" operator="greaterThan">
      <formula>0</formula>
    </cfRule>
  </conditionalFormatting>
  <conditionalFormatting sqref="N402:N403">
    <cfRule type="expression" dxfId="205" priority="22" stopIfTrue="1">
      <formula>IF(AND(ISBLANK(N402),IF(L402&lt;TODAY(),TRUE,FALSE))=FALSE,FALSE,TRUE)</formula>
    </cfRule>
    <cfRule type="expression" dxfId="204" priority="23" stopIfTrue="1">
      <formula>IF(AND(IF(M402="",FALSE,TRUE),IF(N402="",FALSE,TRUE))=TRUE,TRUE,FALSE)</formula>
    </cfRule>
  </conditionalFormatting>
  <conditionalFormatting sqref="O402:O403">
    <cfRule type="expression" dxfId="203" priority="21" stopIfTrue="1">
      <formula>IF(OR(ISNUMBER(O402),ISBLANK(F402)),FALSE,TRUE)</formula>
    </cfRule>
  </conditionalFormatting>
  <conditionalFormatting sqref="L402:L403">
    <cfRule type="expression" dxfId="202" priority="18" stopIfTrue="1">
      <formula>IF(AND(IF(L402&lt;TODAY(),TRUE,FALSE),ISBLANK(N402)),TRUE,FALSE)</formula>
    </cfRule>
    <cfRule type="expression" dxfId="201" priority="19" stopIfTrue="1">
      <formula>IF(AND(IF(M402="",FALSE,TRUE),IF(N402="",FALSE,TRUE))=TRUE,TRUE,FALSE)</formula>
    </cfRule>
    <cfRule type="expression" dxfId="200" priority="20" stopIfTrue="1">
      <formula>IF(AND(IF(L402&lt;TODAY(),TRUE,FALSE),ISBLANK(M402)),TRUE,FALSE)</formula>
    </cfRule>
  </conditionalFormatting>
  <conditionalFormatting sqref="M402:M403">
    <cfRule type="expression" dxfId="199" priority="15" stopIfTrue="1">
      <formula>IF(AND(IF(M402="",FALSE,TRUE),IF(N402="",FALSE,TRUE))=TRUE,TRUE,FALSE)</formula>
    </cfRule>
    <cfRule type="expression" dxfId="198" priority="16" stopIfTrue="1">
      <formula>IF(AND(ISBLANK(M402),IF(L402&lt;TODAY(),TRUE,FALSE))=FALSE,FALSE,TRUE)</formula>
    </cfRule>
    <cfRule type="expression" dxfId="197" priority="17" stopIfTrue="1">
      <formula>IF(AND(IF(L402="",FALSE,TRUE),IF(M402="",FALSE,TRUE))=FALSE,TRUE,FALSE)</formula>
    </cfRule>
  </conditionalFormatting>
  <conditionalFormatting sqref="Q402:Q403">
    <cfRule type="cellIs" dxfId="196" priority="14" stopIfTrue="1" operator="greaterThan">
      <formula>0</formula>
    </cfRule>
  </conditionalFormatting>
  <conditionalFormatting sqref="I402:I403">
    <cfRule type="cellIs" dxfId="195" priority="13" stopIfTrue="1" operator="greaterThan">
      <formula>0</formula>
    </cfRule>
  </conditionalFormatting>
  <conditionalFormatting sqref="I402:I403">
    <cfRule type="cellIs" dxfId="194" priority="12" stopIfTrue="1" operator="greaterThan">
      <formula>0</formula>
    </cfRule>
  </conditionalFormatting>
  <conditionalFormatting sqref="N403">
    <cfRule type="expression" dxfId="193" priority="10" stopIfTrue="1">
      <formula>IF(AND(ISBLANK(N403),IF(L403&lt;TODAY(),TRUE,FALSE))=FALSE,FALSE,TRUE)</formula>
    </cfRule>
    <cfRule type="expression" dxfId="192" priority="11" stopIfTrue="1">
      <formula>IF(AND(IF(M403="",FALSE,TRUE),IF(N403="",FALSE,TRUE))=TRUE,TRUE,FALSE)</formula>
    </cfRule>
  </conditionalFormatting>
  <conditionalFormatting sqref="O403">
    <cfRule type="expression" dxfId="191" priority="9" stopIfTrue="1">
      <formula>IF(OR(ISNUMBER(O403),ISBLANK(F403)),FALSE,TRUE)</formula>
    </cfRule>
  </conditionalFormatting>
  <conditionalFormatting sqref="L403">
    <cfRule type="expression" dxfId="190" priority="6" stopIfTrue="1">
      <formula>IF(AND(IF(L403&lt;TODAY(),TRUE,FALSE),ISBLANK(N403)),TRUE,FALSE)</formula>
    </cfRule>
    <cfRule type="expression" dxfId="189" priority="7" stopIfTrue="1">
      <formula>IF(AND(IF(M403="",FALSE,TRUE),IF(N403="",FALSE,TRUE))=TRUE,TRUE,FALSE)</formula>
    </cfRule>
    <cfRule type="expression" dxfId="188" priority="8" stopIfTrue="1">
      <formula>IF(AND(IF(L403&lt;TODAY(),TRUE,FALSE),ISBLANK(M403)),TRUE,FALSE)</formula>
    </cfRule>
  </conditionalFormatting>
  <conditionalFormatting sqref="M403">
    <cfRule type="expression" dxfId="187" priority="3" stopIfTrue="1">
      <formula>IF(AND(IF(M403="",FALSE,TRUE),IF(N403="",FALSE,TRUE))=TRUE,TRUE,FALSE)</formula>
    </cfRule>
    <cfRule type="expression" dxfId="186" priority="4" stopIfTrue="1">
      <formula>IF(AND(ISBLANK(M403),IF(L403&lt;TODAY(),TRUE,FALSE))=FALSE,FALSE,TRUE)</formula>
    </cfRule>
    <cfRule type="expression" dxfId="185" priority="5" stopIfTrue="1">
      <formula>IF(AND(IF(L403="",FALSE,TRUE),IF(M403="",FALSE,TRUE))=FALSE,TRUE,FALSE)</formula>
    </cfRule>
  </conditionalFormatting>
  <conditionalFormatting sqref="Q403">
    <cfRule type="cellIs" dxfId="184" priority="2" stopIfTrue="1" operator="greaterThan">
      <formula>0</formula>
    </cfRule>
  </conditionalFormatting>
  <conditionalFormatting sqref="I403">
    <cfRule type="cellIs" dxfId="183" priority="1" stopIfTrue="1" operator="greaterThan">
      <formula>0</formula>
    </cfRule>
  </conditionalFormatting>
  <hyperlinks>
    <hyperlink ref="C5" r:id="rId1"/>
    <hyperlink ref="J395" r:id="rId2"/>
    <hyperlink ref="J396" r:id="rId3"/>
    <hyperlink ref="J397" r:id="rId4"/>
    <hyperlink ref="J398" r:id="rId5"/>
    <hyperlink ref="J399" r:id="rId6"/>
    <hyperlink ref="J357" r:id="rId7"/>
    <hyperlink ref="J403" r:id="rId8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9"/>
  <headerFooter alignWithMargins="0">
    <oddFooter>&amp;L&amp;8&amp;Z&amp;F&amp;F&amp;R&amp;P/&amp;N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>
    <tabColor indexed="10"/>
    <pageSetUpPr fitToPage="1"/>
  </sheetPr>
  <dimension ref="A1:CO518"/>
  <sheetViews>
    <sheetView tabSelected="1" zoomScaleNormal="100" workbookViewId="0">
      <pane ySplit="6" topLeftCell="A7" activePane="bottomLeft" state="frozen"/>
      <selection pane="bottomLeft" activeCell="D4" sqref="D4:F4"/>
    </sheetView>
  </sheetViews>
  <sheetFormatPr defaultColWidth="9.140625" defaultRowHeight="12.75" outlineLevelRow="2" outlineLevelCol="1" x14ac:dyDescent="0.2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9.140625" style="1" hidden="1" customWidth="1" collapsed="1"/>
    <col min="41" max="16384" width="9.140625" style="1"/>
  </cols>
  <sheetData>
    <row r="1" spans="1:93" s="2" customFormat="1" ht="16.5" x14ac:dyDescent="0.2">
      <c r="A1" s="77"/>
      <c r="B1" s="1"/>
      <c r="C1" s="15" t="s">
        <v>1</v>
      </c>
      <c r="D1" s="54" t="s">
        <v>102</v>
      </c>
      <c r="E1" s="15"/>
      <c r="F1" s="15"/>
      <c r="G1" s="269" t="s">
        <v>9</v>
      </c>
      <c r="H1" s="269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 x14ac:dyDescent="0.2">
      <c r="A2" s="77"/>
      <c r="B2" s="1"/>
      <c r="C2" s="15" t="s">
        <v>14</v>
      </c>
      <c r="D2" s="172"/>
      <c r="E2" s="53"/>
      <c r="F2" s="53"/>
      <c r="G2" s="270" t="s">
        <v>836</v>
      </c>
      <c r="H2" s="270"/>
      <c r="I2" s="271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 x14ac:dyDescent="0.25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 x14ac:dyDescent="0.25">
      <c r="A4" s="77"/>
      <c r="B4" s="1"/>
      <c r="C4" s="15" t="s">
        <v>33</v>
      </c>
      <c r="D4" s="272" t="str">
        <f>G415</f>
        <v>Obróbka wstępna: piaskowanie
Gruntowanie
Malowanie proszkowe: 
Pozycja 1. stelaż: biały (RAL 9003 )
Łączna grubość pokrycia: min. 90 µm warstwy suchej
Kooperant: Met-Kolor s.c.
Mariana Rapackiego 20, 20-151 Lublin</v>
      </c>
      <c r="E4" s="272"/>
      <c r="F4" s="272"/>
      <c r="G4" s="13" t="s">
        <v>11</v>
      </c>
      <c r="H4" s="217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51" t="s">
        <v>27</v>
      </c>
      <c r="R4" s="252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 x14ac:dyDescent="0.25">
      <c r="A5" s="77"/>
      <c r="B5" s="1"/>
      <c r="C5" s="253" t="s">
        <v>43</v>
      </c>
      <c r="D5" s="254"/>
      <c r="E5" s="11"/>
      <c r="F5" s="255" t="s">
        <v>30</v>
      </c>
      <c r="G5" s="256"/>
      <c r="H5" s="13"/>
      <c r="I5" s="14"/>
      <c r="K5" s="257" t="s">
        <v>34</v>
      </c>
      <c r="L5" s="258"/>
      <c r="M5" s="63"/>
      <c r="N5" s="63"/>
      <c r="O5" s="251" t="s">
        <v>24</v>
      </c>
      <c r="P5" s="252"/>
      <c r="Q5" s="52"/>
      <c r="R5" s="215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 x14ac:dyDescent="0.25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16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 x14ac:dyDescent="0.2">
      <c r="A7" s="224" t="s">
        <v>237</v>
      </c>
      <c r="B7" s="239" t="s">
        <v>84</v>
      </c>
      <c r="C7" s="242" t="s">
        <v>430</v>
      </c>
      <c r="D7" s="243" t="s">
        <v>431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 x14ac:dyDescent="0.2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198"/>
      <c r="J8" s="199"/>
      <c r="AN8" s="131">
        <v>2</v>
      </c>
    </row>
    <row r="9" spans="1:93" s="131" customFormat="1" outlineLevel="1" x14ac:dyDescent="0.2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/>
      <c r="J9" s="205"/>
      <c r="AN9" s="131">
        <v>3</v>
      </c>
    </row>
    <row r="10" spans="1:93" s="131" customFormat="1" outlineLevel="1" x14ac:dyDescent="0.2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/>
      <c r="J10" s="205"/>
      <c r="AN10" s="131">
        <v>3</v>
      </c>
    </row>
    <row r="11" spans="1:93" s="131" customFormat="1" outlineLevel="1" x14ac:dyDescent="0.2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/>
      <c r="J11" s="205"/>
      <c r="AN11" s="131">
        <v>3</v>
      </c>
    </row>
    <row r="12" spans="1:93" s="131" customFormat="1" outlineLevel="1" x14ac:dyDescent="0.2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/>
      <c r="J12" s="205"/>
      <c r="AN12" s="131">
        <v>3</v>
      </c>
    </row>
    <row r="13" spans="1:93" s="131" customFormat="1" outlineLevel="1" x14ac:dyDescent="0.2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/>
      <c r="J13" s="205"/>
      <c r="AN13" s="131">
        <v>3</v>
      </c>
    </row>
    <row r="14" spans="1:93" s="131" customFormat="1" outlineLevel="1" x14ac:dyDescent="0.2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/>
      <c r="J14" s="205"/>
      <c r="AN14" s="131">
        <v>3</v>
      </c>
    </row>
    <row r="15" spans="1:93" s="131" customFormat="1" outlineLevel="1" x14ac:dyDescent="0.2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/>
      <c r="J15" s="205"/>
      <c r="AN15" s="131">
        <v>3</v>
      </c>
    </row>
    <row r="16" spans="1:93" s="131" customFormat="1" outlineLevel="1" x14ac:dyDescent="0.2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/>
      <c r="J16" s="205"/>
      <c r="AN16" s="131">
        <v>3</v>
      </c>
    </row>
    <row r="17" spans="1:40" s="131" customFormat="1" outlineLevel="1" x14ac:dyDescent="0.2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/>
      <c r="J17" s="205"/>
      <c r="AN17" s="131">
        <v>3</v>
      </c>
    </row>
    <row r="18" spans="1:40" s="131" customFormat="1" outlineLevel="1" x14ac:dyDescent="0.2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/>
      <c r="J18" s="205"/>
      <c r="AN18" s="131">
        <v>3</v>
      </c>
    </row>
    <row r="19" spans="1:40" s="131" customFormat="1" outlineLevel="1" x14ac:dyDescent="0.2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/>
      <c r="J19" s="205"/>
      <c r="AN19" s="131">
        <v>3</v>
      </c>
    </row>
    <row r="20" spans="1:40" s="131" customFormat="1" outlineLevel="1" x14ac:dyDescent="0.2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/>
      <c r="J20" s="205"/>
      <c r="AN20" s="131">
        <v>3</v>
      </c>
    </row>
    <row r="21" spans="1:40" s="131" customFormat="1" outlineLevel="1" x14ac:dyDescent="0.2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/>
      <c r="J21" s="205"/>
      <c r="AN21" s="131">
        <v>3</v>
      </c>
    </row>
    <row r="22" spans="1:40" s="131" customFormat="1" outlineLevel="1" x14ac:dyDescent="0.2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/>
      <c r="J22" s="205"/>
      <c r="AN22" s="131">
        <v>3</v>
      </c>
    </row>
    <row r="23" spans="1:40" s="131" customFormat="1" outlineLevel="1" x14ac:dyDescent="0.2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/>
      <c r="J23" s="205"/>
      <c r="AN23" s="131">
        <v>3</v>
      </c>
    </row>
    <row r="24" spans="1:40" s="131" customFormat="1" outlineLevel="1" x14ac:dyDescent="0.2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157"/>
      <c r="J24" s="158"/>
      <c r="AN24" s="131">
        <v>3</v>
      </c>
    </row>
    <row r="25" spans="1:40" s="131" customFormat="1" x14ac:dyDescent="0.2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 x14ac:dyDescent="0.2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 x14ac:dyDescent="0.2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 x14ac:dyDescent="0.2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 x14ac:dyDescent="0.2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 x14ac:dyDescent="0.2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 x14ac:dyDescent="0.2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 x14ac:dyDescent="0.2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 x14ac:dyDescent="0.2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 x14ac:dyDescent="0.2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 x14ac:dyDescent="0.2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 x14ac:dyDescent="0.2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 x14ac:dyDescent="0.2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 x14ac:dyDescent="0.2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 x14ac:dyDescent="0.2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 x14ac:dyDescent="0.2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 x14ac:dyDescent="0.2">
      <c r="A41" s="195" t="s">
        <v>237</v>
      </c>
      <c r="B41" s="218" t="s">
        <v>87</v>
      </c>
      <c r="C41" s="196" t="s">
        <v>439</v>
      </c>
      <c r="D41" s="197" t="s">
        <v>120</v>
      </c>
      <c r="E41" s="197">
        <v>1</v>
      </c>
      <c r="F41" s="207"/>
      <c r="G41" s="207" t="str">
        <f>""</f>
        <v/>
      </c>
      <c r="H41" s="195"/>
      <c r="I41" s="198"/>
      <c r="J41" s="199"/>
      <c r="AN41" s="131">
        <v>2</v>
      </c>
    </row>
    <row r="42" spans="1:40" s="131" customFormat="1" outlineLevel="1" x14ac:dyDescent="0.2">
      <c r="A42" s="195" t="s">
        <v>213</v>
      </c>
      <c r="B42" s="218" t="s">
        <v>316</v>
      </c>
      <c r="C42" s="200" t="s">
        <v>254</v>
      </c>
      <c r="D42" s="201" t="s">
        <v>255</v>
      </c>
      <c r="E42" s="201">
        <f>2*1</f>
        <v>2</v>
      </c>
      <c r="F42" s="202">
        <v>1.3699131200000001</v>
      </c>
      <c r="G42" s="202">
        <f t="shared" ref="G42:G48" si="2">F42*E42</f>
        <v>2.7398262400000002</v>
      </c>
      <c r="H42" s="203" t="s">
        <v>126</v>
      </c>
      <c r="I42" s="204"/>
      <c r="J42" s="205"/>
      <c r="AN42" s="131">
        <v>3</v>
      </c>
    </row>
    <row r="43" spans="1:40" s="131" customFormat="1" outlineLevel="1" x14ac:dyDescent="0.2">
      <c r="A43" s="195" t="s">
        <v>213</v>
      </c>
      <c r="B43" s="218" t="s">
        <v>317</v>
      </c>
      <c r="C43" s="200" t="s">
        <v>256</v>
      </c>
      <c r="D43" s="201" t="s">
        <v>257</v>
      </c>
      <c r="E43" s="201">
        <f>1*1</f>
        <v>1</v>
      </c>
      <c r="F43" s="202">
        <v>1.09654622</v>
      </c>
      <c r="G43" s="202">
        <f t="shared" si="2"/>
        <v>1.09654622</v>
      </c>
      <c r="H43" s="203" t="s">
        <v>126</v>
      </c>
      <c r="I43" s="204"/>
      <c r="J43" s="205"/>
      <c r="AN43" s="131">
        <v>3</v>
      </c>
    </row>
    <row r="44" spans="1:40" s="131" customFormat="1" outlineLevel="1" x14ac:dyDescent="0.2">
      <c r="A44" s="195" t="s">
        <v>213</v>
      </c>
      <c r="B44" s="218" t="s">
        <v>318</v>
      </c>
      <c r="C44" s="200" t="s">
        <v>258</v>
      </c>
      <c r="D44" s="201" t="s">
        <v>440</v>
      </c>
      <c r="E44" s="201">
        <f>1*1</f>
        <v>1</v>
      </c>
      <c r="F44" s="202">
        <v>1.0965381599999999</v>
      </c>
      <c r="G44" s="202">
        <f t="shared" si="2"/>
        <v>1.0965381599999999</v>
      </c>
      <c r="H44" s="203" t="s">
        <v>126</v>
      </c>
      <c r="I44" s="204"/>
      <c r="J44" s="205"/>
      <c r="AN44" s="131">
        <v>3</v>
      </c>
    </row>
    <row r="45" spans="1:40" s="131" customFormat="1" outlineLevel="1" x14ac:dyDescent="0.2">
      <c r="A45" s="195" t="s">
        <v>213</v>
      </c>
      <c r="B45" s="218" t="s">
        <v>319</v>
      </c>
      <c r="C45" s="200" t="s">
        <v>259</v>
      </c>
      <c r="D45" s="201" t="s">
        <v>260</v>
      </c>
      <c r="E45" s="201">
        <f>1*1</f>
        <v>1</v>
      </c>
      <c r="F45" s="202">
        <v>0.49976885999999998</v>
      </c>
      <c r="G45" s="202">
        <f t="shared" si="2"/>
        <v>0.49976885999999998</v>
      </c>
      <c r="H45" s="203" t="s">
        <v>126</v>
      </c>
      <c r="I45" s="204"/>
      <c r="J45" s="205"/>
      <c r="AN45" s="131">
        <v>3</v>
      </c>
    </row>
    <row r="46" spans="1:40" s="131" customFormat="1" outlineLevel="1" x14ac:dyDescent="0.2">
      <c r="A46" s="195" t="s">
        <v>213</v>
      </c>
      <c r="B46" s="218" t="s">
        <v>320</v>
      </c>
      <c r="C46" s="200" t="s">
        <v>441</v>
      </c>
      <c r="D46" s="201" t="s">
        <v>442</v>
      </c>
      <c r="E46" s="201">
        <f>2*1</f>
        <v>2</v>
      </c>
      <c r="F46" s="202">
        <v>4.008548E-2</v>
      </c>
      <c r="G46" s="202">
        <f t="shared" si="2"/>
        <v>8.0170959999999999E-2</v>
      </c>
      <c r="H46" s="203" t="s">
        <v>126</v>
      </c>
      <c r="I46" s="204"/>
      <c r="J46" s="205"/>
      <c r="AN46" s="131">
        <v>3</v>
      </c>
    </row>
    <row r="47" spans="1:40" s="131" customFormat="1" outlineLevel="1" x14ac:dyDescent="0.2">
      <c r="A47" s="195" t="s">
        <v>213</v>
      </c>
      <c r="B47" s="218" t="s">
        <v>321</v>
      </c>
      <c r="C47" s="200" t="s">
        <v>261</v>
      </c>
      <c r="D47" s="201" t="s">
        <v>443</v>
      </c>
      <c r="E47" s="201">
        <f>1*1</f>
        <v>1</v>
      </c>
      <c r="F47" s="202">
        <v>0.25066654999999999</v>
      </c>
      <c r="G47" s="202">
        <f t="shared" si="2"/>
        <v>0.25066654999999999</v>
      </c>
      <c r="H47" s="203" t="s">
        <v>126</v>
      </c>
      <c r="I47" s="204"/>
      <c r="J47" s="205"/>
      <c r="AN47" s="131">
        <v>3</v>
      </c>
    </row>
    <row r="48" spans="1:40" s="131" customFormat="1" outlineLevel="1" x14ac:dyDescent="0.2">
      <c r="A48" s="195" t="s">
        <v>213</v>
      </c>
      <c r="B48" s="218" t="s">
        <v>322</v>
      </c>
      <c r="C48" s="200" t="s">
        <v>402</v>
      </c>
      <c r="D48" s="201" t="s">
        <v>403</v>
      </c>
      <c r="E48" s="201">
        <f>1*1</f>
        <v>1</v>
      </c>
      <c r="F48" s="202">
        <v>0.46376856</v>
      </c>
      <c r="G48" s="202">
        <f t="shared" si="2"/>
        <v>0.46376856</v>
      </c>
      <c r="H48" s="203" t="s">
        <v>126</v>
      </c>
      <c r="I48" s="204"/>
      <c r="J48" s="205"/>
      <c r="AN48" s="131">
        <v>3</v>
      </c>
    </row>
    <row r="49" spans="1:40" s="131" customFormat="1" x14ac:dyDescent="0.2">
      <c r="A49" s="195" t="s">
        <v>237</v>
      </c>
      <c r="B49" s="218" t="s">
        <v>88</v>
      </c>
      <c r="C49" s="196" t="s">
        <v>444</v>
      </c>
      <c r="D49" s="197" t="s">
        <v>121</v>
      </c>
      <c r="E49" s="197">
        <v>1</v>
      </c>
      <c r="F49" s="207"/>
      <c r="G49" s="207" t="str">
        <f>""</f>
        <v/>
      </c>
      <c r="H49" s="195"/>
      <c r="I49" s="198"/>
      <c r="J49" s="199"/>
      <c r="AN49" s="131">
        <v>2</v>
      </c>
    </row>
    <row r="50" spans="1:40" s="131" customFormat="1" outlineLevel="1" x14ac:dyDescent="0.2">
      <c r="A50" s="195" t="s">
        <v>213</v>
      </c>
      <c r="B50" s="218" t="s">
        <v>323</v>
      </c>
      <c r="C50" s="200" t="s">
        <v>262</v>
      </c>
      <c r="D50" s="201" t="s">
        <v>255</v>
      </c>
      <c r="E50" s="201">
        <f>2*1</f>
        <v>2</v>
      </c>
      <c r="F50" s="202">
        <v>1.37</v>
      </c>
      <c r="G50" s="202">
        <f t="shared" ref="G50:G55" si="3">F50*E50</f>
        <v>2.74</v>
      </c>
      <c r="H50" s="203" t="s">
        <v>126</v>
      </c>
      <c r="I50" s="204"/>
      <c r="J50" s="205"/>
      <c r="AN50" s="131">
        <v>3</v>
      </c>
    </row>
    <row r="51" spans="1:40" s="131" customFormat="1" outlineLevel="1" x14ac:dyDescent="0.2">
      <c r="A51" s="195" t="s">
        <v>213</v>
      </c>
      <c r="B51" s="218" t="s">
        <v>324</v>
      </c>
      <c r="C51" s="200" t="s">
        <v>256</v>
      </c>
      <c r="D51" s="201" t="s">
        <v>257</v>
      </c>
      <c r="E51" s="201">
        <f>1*1</f>
        <v>1</v>
      </c>
      <c r="F51" s="202">
        <v>1.1000000000000001</v>
      </c>
      <c r="G51" s="202">
        <f t="shared" si="3"/>
        <v>1.1000000000000001</v>
      </c>
      <c r="H51" s="203" t="s">
        <v>126</v>
      </c>
      <c r="I51" s="204"/>
      <c r="J51" s="205"/>
      <c r="AN51" s="131">
        <v>3</v>
      </c>
    </row>
    <row r="52" spans="1:40" s="131" customFormat="1" outlineLevel="1" x14ac:dyDescent="0.2">
      <c r="A52" s="195" t="s">
        <v>213</v>
      </c>
      <c r="B52" s="218" t="s">
        <v>325</v>
      </c>
      <c r="C52" s="200" t="s">
        <v>258</v>
      </c>
      <c r="D52" s="201" t="s">
        <v>440</v>
      </c>
      <c r="E52" s="201">
        <f>1*1</f>
        <v>1</v>
      </c>
      <c r="F52" s="202">
        <v>1.1000000000000001</v>
      </c>
      <c r="G52" s="202">
        <f t="shared" si="3"/>
        <v>1.1000000000000001</v>
      </c>
      <c r="H52" s="203" t="s">
        <v>126</v>
      </c>
      <c r="I52" s="204"/>
      <c r="J52" s="205"/>
      <c r="AN52" s="131">
        <v>3</v>
      </c>
    </row>
    <row r="53" spans="1:40" s="131" customFormat="1" outlineLevel="1" x14ac:dyDescent="0.2">
      <c r="A53" s="195" t="s">
        <v>213</v>
      </c>
      <c r="B53" s="218" t="s">
        <v>326</v>
      </c>
      <c r="C53" s="200" t="s">
        <v>263</v>
      </c>
      <c r="D53" s="201" t="s">
        <v>264</v>
      </c>
      <c r="E53" s="201">
        <f>1*1</f>
        <v>1</v>
      </c>
      <c r="F53" s="202">
        <v>0.53</v>
      </c>
      <c r="G53" s="202">
        <f t="shared" si="3"/>
        <v>0.53</v>
      </c>
      <c r="H53" s="203" t="s">
        <v>126</v>
      </c>
      <c r="I53" s="204"/>
      <c r="J53" s="205"/>
      <c r="AN53" s="131">
        <v>3</v>
      </c>
    </row>
    <row r="54" spans="1:40" s="131" customFormat="1" outlineLevel="1" x14ac:dyDescent="0.2">
      <c r="A54" s="195" t="s">
        <v>213</v>
      </c>
      <c r="B54" s="218" t="s">
        <v>327</v>
      </c>
      <c r="C54" s="200" t="s">
        <v>261</v>
      </c>
      <c r="D54" s="201" t="s">
        <v>443</v>
      </c>
      <c r="E54" s="201">
        <f>1*1</f>
        <v>1</v>
      </c>
      <c r="F54" s="202">
        <v>0.25</v>
      </c>
      <c r="G54" s="202">
        <f t="shared" si="3"/>
        <v>0.25</v>
      </c>
      <c r="H54" s="203" t="s">
        <v>126</v>
      </c>
      <c r="I54" s="204"/>
      <c r="J54" s="205"/>
      <c r="AN54" s="131">
        <v>3</v>
      </c>
    </row>
    <row r="55" spans="1:40" s="131" customFormat="1" outlineLevel="1" x14ac:dyDescent="0.2">
      <c r="A55" s="195" t="s">
        <v>213</v>
      </c>
      <c r="B55" s="218" t="s">
        <v>328</v>
      </c>
      <c r="C55" s="200" t="s">
        <v>404</v>
      </c>
      <c r="D55" s="201" t="s">
        <v>405</v>
      </c>
      <c r="E55" s="201">
        <f>1*1</f>
        <v>1</v>
      </c>
      <c r="F55" s="202">
        <v>0.63</v>
      </c>
      <c r="G55" s="202">
        <f t="shared" si="3"/>
        <v>0.63</v>
      </c>
      <c r="H55" s="203" t="s">
        <v>126</v>
      </c>
      <c r="I55" s="204"/>
      <c r="J55" s="205"/>
      <c r="AN55" s="131">
        <v>3</v>
      </c>
    </row>
    <row r="56" spans="1:40" s="131" customFormat="1" x14ac:dyDescent="0.2">
      <c r="A56" s="195" t="s">
        <v>237</v>
      </c>
      <c r="B56" s="218" t="s">
        <v>89</v>
      </c>
      <c r="C56" s="196" t="s">
        <v>445</v>
      </c>
      <c r="D56" s="197" t="s">
        <v>122</v>
      </c>
      <c r="E56" s="197">
        <v>1</v>
      </c>
      <c r="F56" s="207"/>
      <c r="G56" s="207" t="str">
        <f>""</f>
        <v/>
      </c>
      <c r="H56" s="195"/>
      <c r="I56" s="198"/>
      <c r="J56" s="199"/>
      <c r="AN56" s="131">
        <v>2</v>
      </c>
    </row>
    <row r="57" spans="1:40" s="131" customFormat="1" outlineLevel="1" x14ac:dyDescent="0.2">
      <c r="A57" s="195" t="s">
        <v>213</v>
      </c>
      <c r="B57" s="218" t="s">
        <v>329</v>
      </c>
      <c r="C57" s="200" t="s">
        <v>406</v>
      </c>
      <c r="D57" s="201" t="s">
        <v>407</v>
      </c>
      <c r="E57" s="201">
        <f>1*1</f>
        <v>1</v>
      </c>
      <c r="F57" s="202">
        <v>1.1299999999999999</v>
      </c>
      <c r="G57" s="202">
        <f t="shared" ref="G57:G62" si="4">F57*E57</f>
        <v>1.1299999999999999</v>
      </c>
      <c r="H57" s="203" t="s">
        <v>126</v>
      </c>
      <c r="I57" s="204"/>
      <c r="J57" s="205"/>
      <c r="AN57" s="131">
        <v>3</v>
      </c>
    </row>
    <row r="58" spans="1:40" s="131" customFormat="1" outlineLevel="1" x14ac:dyDescent="0.2">
      <c r="A58" s="195" t="s">
        <v>213</v>
      </c>
      <c r="B58" s="218" t="s">
        <v>330</v>
      </c>
      <c r="C58" s="200" t="s">
        <v>265</v>
      </c>
      <c r="D58" s="201" t="s">
        <v>266</v>
      </c>
      <c r="E58" s="201">
        <f>2*1</f>
        <v>2</v>
      </c>
      <c r="F58" s="202">
        <v>0.01</v>
      </c>
      <c r="G58" s="202">
        <f t="shared" si="4"/>
        <v>0.02</v>
      </c>
      <c r="H58" s="203" t="s">
        <v>126</v>
      </c>
      <c r="I58" s="204"/>
      <c r="J58" s="205"/>
      <c r="AN58" s="131">
        <v>3</v>
      </c>
    </row>
    <row r="59" spans="1:40" s="131" customFormat="1" x14ac:dyDescent="0.2">
      <c r="A59" s="195" t="s">
        <v>213</v>
      </c>
      <c r="B59" s="218" t="s">
        <v>90</v>
      </c>
      <c r="C59" s="208" t="s">
        <v>446</v>
      </c>
      <c r="D59" s="206" t="s">
        <v>447</v>
      </c>
      <c r="E59" s="206">
        <v>1</v>
      </c>
      <c r="F59" s="209">
        <v>0.65</v>
      </c>
      <c r="G59" s="209">
        <f t="shared" si="4"/>
        <v>0.65</v>
      </c>
      <c r="H59" s="210" t="s">
        <v>126</v>
      </c>
      <c r="I59" s="211"/>
      <c r="J59" s="212"/>
      <c r="AN59" s="131">
        <v>2</v>
      </c>
    </row>
    <row r="60" spans="1:40" s="131" customFormat="1" x14ac:dyDescent="0.2">
      <c r="A60" s="195" t="s">
        <v>213</v>
      </c>
      <c r="B60" s="218" t="s">
        <v>90</v>
      </c>
      <c r="C60" s="208" t="s">
        <v>940</v>
      </c>
      <c r="D60" s="206" t="s">
        <v>447</v>
      </c>
      <c r="E60" s="206">
        <v>1</v>
      </c>
      <c r="F60" s="209">
        <v>0.65</v>
      </c>
      <c r="G60" s="209">
        <f t="shared" si="4"/>
        <v>0.65</v>
      </c>
      <c r="H60" s="210">
        <v>1.4300999999999999</v>
      </c>
      <c r="I60" s="211" t="s">
        <v>864</v>
      </c>
      <c r="J60" s="212"/>
      <c r="AN60" s="131">
        <v>2</v>
      </c>
    </row>
    <row r="61" spans="1:40" s="131" customFormat="1" x14ac:dyDescent="0.2">
      <c r="A61" s="195" t="s">
        <v>213</v>
      </c>
      <c r="B61" s="218" t="s">
        <v>91</v>
      </c>
      <c r="C61" s="208" t="s">
        <v>448</v>
      </c>
      <c r="D61" s="206" t="s">
        <v>449</v>
      </c>
      <c r="E61" s="206">
        <v>1</v>
      </c>
      <c r="F61" s="209">
        <v>0.83</v>
      </c>
      <c r="G61" s="209">
        <f t="shared" si="4"/>
        <v>0.83</v>
      </c>
      <c r="H61" s="210" t="s">
        <v>126</v>
      </c>
      <c r="I61" s="211"/>
      <c r="J61" s="212"/>
      <c r="AN61" s="131">
        <v>2</v>
      </c>
    </row>
    <row r="62" spans="1:40" s="131" customFormat="1" x14ac:dyDescent="0.2">
      <c r="A62" s="195" t="s">
        <v>213</v>
      </c>
      <c r="B62" s="218" t="s">
        <v>91</v>
      </c>
      <c r="C62" s="208" t="s">
        <v>939</v>
      </c>
      <c r="D62" s="206" t="s">
        <v>449</v>
      </c>
      <c r="E62" s="206">
        <v>1</v>
      </c>
      <c r="F62" s="209">
        <v>0.83</v>
      </c>
      <c r="G62" s="209">
        <f t="shared" si="4"/>
        <v>0.83</v>
      </c>
      <c r="H62" s="210">
        <v>1.4300999999999999</v>
      </c>
      <c r="I62" s="211" t="s">
        <v>864</v>
      </c>
      <c r="J62" s="212"/>
      <c r="AN62" s="131">
        <v>2</v>
      </c>
    </row>
    <row r="63" spans="1:40" s="131" customFormat="1" x14ac:dyDescent="0.2">
      <c r="A63" s="195" t="s">
        <v>237</v>
      </c>
      <c r="B63" s="218" t="s">
        <v>92</v>
      </c>
      <c r="C63" s="196" t="s">
        <v>450</v>
      </c>
      <c r="D63" s="197" t="s">
        <v>123</v>
      </c>
      <c r="E63" s="197">
        <v>1</v>
      </c>
      <c r="F63" s="207"/>
      <c r="G63" s="207" t="str">
        <f>""</f>
        <v/>
      </c>
      <c r="H63" s="195"/>
      <c r="I63" s="198" t="s">
        <v>844</v>
      </c>
      <c r="J63" s="199"/>
      <c r="AN63" s="131">
        <v>2</v>
      </c>
    </row>
    <row r="64" spans="1:40" s="131" customFormat="1" outlineLevel="1" x14ac:dyDescent="0.2">
      <c r="A64" s="195" t="s">
        <v>213</v>
      </c>
      <c r="B64" s="218" t="s">
        <v>331</v>
      </c>
      <c r="C64" s="200" t="s">
        <v>451</v>
      </c>
      <c r="D64" s="201" t="s">
        <v>267</v>
      </c>
      <c r="E64" s="201">
        <f>2*1</f>
        <v>2</v>
      </c>
      <c r="F64" s="202">
        <v>0.41306744000000001</v>
      </c>
      <c r="G64" s="202">
        <f>F64*E64</f>
        <v>0.82613488000000002</v>
      </c>
      <c r="H64" s="203" t="s">
        <v>126</v>
      </c>
      <c r="I64" s="198" t="s">
        <v>844</v>
      </c>
      <c r="J64" s="205"/>
      <c r="AN64" s="131">
        <v>3</v>
      </c>
    </row>
    <row r="65" spans="1:40" s="131" customFormat="1" outlineLevel="1" x14ac:dyDescent="0.2">
      <c r="A65" s="195" t="s">
        <v>213</v>
      </c>
      <c r="B65" s="218" t="s">
        <v>332</v>
      </c>
      <c r="C65" s="200" t="s">
        <v>452</v>
      </c>
      <c r="D65" s="201" t="s">
        <v>401</v>
      </c>
      <c r="E65" s="201">
        <f>2*1</f>
        <v>2</v>
      </c>
      <c r="F65" s="202">
        <v>1.01467051</v>
      </c>
      <c r="G65" s="202">
        <f>F65*E65</f>
        <v>2.0293410199999999</v>
      </c>
      <c r="H65" s="203" t="s">
        <v>126</v>
      </c>
      <c r="I65" s="198" t="s">
        <v>844</v>
      </c>
      <c r="J65" s="205"/>
      <c r="AN65" s="131">
        <v>3</v>
      </c>
    </row>
    <row r="66" spans="1:40" s="131" customFormat="1" outlineLevel="1" x14ac:dyDescent="0.2">
      <c r="A66" s="195" t="s">
        <v>213</v>
      </c>
      <c r="B66" s="218" t="s">
        <v>333</v>
      </c>
      <c r="C66" s="200" t="s">
        <v>453</v>
      </c>
      <c r="D66" s="201" t="s">
        <v>268</v>
      </c>
      <c r="E66" s="201">
        <f>1*1</f>
        <v>1</v>
      </c>
      <c r="F66" s="202">
        <v>4.8497940000000003E-2</v>
      </c>
      <c r="G66" s="202">
        <f>F66*E66</f>
        <v>4.8497940000000003E-2</v>
      </c>
      <c r="H66" s="203" t="s">
        <v>126</v>
      </c>
      <c r="I66" s="198" t="s">
        <v>844</v>
      </c>
      <c r="J66" s="205"/>
      <c r="AN66" s="131">
        <v>3</v>
      </c>
    </row>
    <row r="67" spans="1:40" s="131" customFormat="1" x14ac:dyDescent="0.2">
      <c r="A67" s="195" t="s">
        <v>237</v>
      </c>
      <c r="B67" s="222" t="s">
        <v>92</v>
      </c>
      <c r="C67" s="196" t="s">
        <v>855</v>
      </c>
      <c r="D67" s="197" t="s">
        <v>123</v>
      </c>
      <c r="E67" s="197">
        <v>1</v>
      </c>
      <c r="F67" s="197"/>
      <c r="G67" s="197"/>
      <c r="H67" s="195"/>
      <c r="I67" s="198" t="s">
        <v>859</v>
      </c>
      <c r="J67" s="199"/>
      <c r="AN67" s="131">
        <v>2</v>
      </c>
    </row>
    <row r="68" spans="1:40" s="131" customFormat="1" x14ac:dyDescent="0.2">
      <c r="A68" s="195" t="s">
        <v>213</v>
      </c>
      <c r="B68" s="222" t="s">
        <v>331</v>
      </c>
      <c r="C68" s="200" t="s">
        <v>856</v>
      </c>
      <c r="D68" s="201" t="s">
        <v>267</v>
      </c>
      <c r="E68" s="201">
        <v>2</v>
      </c>
      <c r="F68" s="202">
        <v>0.42200146999999999</v>
      </c>
      <c r="G68" s="202">
        <f>F68*E68</f>
        <v>0.84400293999999998</v>
      </c>
      <c r="H68" s="203">
        <v>1.4300999999999999</v>
      </c>
      <c r="I68" s="198" t="s">
        <v>859</v>
      </c>
      <c r="J68" s="205"/>
      <c r="AN68" s="131">
        <v>3</v>
      </c>
    </row>
    <row r="69" spans="1:40" s="131" customFormat="1" x14ac:dyDescent="0.2">
      <c r="A69" s="195" t="s">
        <v>213</v>
      </c>
      <c r="B69" s="222" t="s">
        <v>332</v>
      </c>
      <c r="C69" s="200" t="s">
        <v>857</v>
      </c>
      <c r="D69" s="201" t="s">
        <v>401</v>
      </c>
      <c r="E69" s="201">
        <v>2</v>
      </c>
      <c r="F69" s="202">
        <v>1.0377167300000001</v>
      </c>
      <c r="G69" s="202">
        <f>F69*E69</f>
        <v>2.0754334600000002</v>
      </c>
      <c r="H69" s="203">
        <v>1.4300999999999999</v>
      </c>
      <c r="I69" s="198" t="s">
        <v>859</v>
      </c>
      <c r="J69" s="205"/>
      <c r="AN69" s="131">
        <v>3</v>
      </c>
    </row>
    <row r="70" spans="1:40" s="131" customFormat="1" x14ac:dyDescent="0.2">
      <c r="A70" s="195" t="s">
        <v>213</v>
      </c>
      <c r="B70" s="222" t="s">
        <v>333</v>
      </c>
      <c r="C70" s="200" t="s">
        <v>858</v>
      </c>
      <c r="D70" s="201" t="s">
        <v>268</v>
      </c>
      <c r="E70" s="201">
        <v>1</v>
      </c>
      <c r="F70" s="202">
        <v>4.9546880000000001E-2</v>
      </c>
      <c r="G70" s="202">
        <f>F70*E70</f>
        <v>4.9546880000000001E-2</v>
      </c>
      <c r="H70" s="203">
        <v>1.4300999999999999</v>
      </c>
      <c r="I70" s="198" t="s">
        <v>859</v>
      </c>
      <c r="J70" s="205"/>
      <c r="AN70" s="131">
        <v>3</v>
      </c>
    </row>
    <row r="71" spans="1:40" s="131" customFormat="1" x14ac:dyDescent="0.2">
      <c r="A71" s="195" t="s">
        <v>237</v>
      </c>
      <c r="B71" s="218" t="s">
        <v>93</v>
      </c>
      <c r="C71" s="196" t="s">
        <v>454</v>
      </c>
      <c r="D71" s="197" t="s">
        <v>124</v>
      </c>
      <c r="E71" s="197">
        <v>1</v>
      </c>
      <c r="F71" s="207"/>
      <c r="G71" s="207" t="str">
        <f>""</f>
        <v/>
      </c>
      <c r="H71" s="195"/>
      <c r="I71" s="198"/>
      <c r="J71" s="199"/>
      <c r="AN71" s="131">
        <v>2</v>
      </c>
    </row>
    <row r="72" spans="1:40" s="131" customFormat="1" outlineLevel="1" x14ac:dyDescent="0.2">
      <c r="A72" s="195" t="s">
        <v>213</v>
      </c>
      <c r="B72" s="218" t="s">
        <v>225</v>
      </c>
      <c r="C72" s="200" t="s">
        <v>395</v>
      </c>
      <c r="D72" s="201" t="s">
        <v>216</v>
      </c>
      <c r="E72" s="201">
        <f>4*1</f>
        <v>4</v>
      </c>
      <c r="F72" s="202">
        <v>0.65301136999999998</v>
      </c>
      <c r="G72" s="202">
        <f>F72*E72</f>
        <v>2.6120454799999999</v>
      </c>
      <c r="H72" s="203">
        <v>1.4300999999999999</v>
      </c>
      <c r="I72" s="204"/>
      <c r="J72" s="205"/>
      <c r="AN72" s="131">
        <v>3</v>
      </c>
    </row>
    <row r="73" spans="1:40" s="131" customFormat="1" outlineLevel="1" x14ac:dyDescent="0.2">
      <c r="A73" s="195" t="s">
        <v>237</v>
      </c>
      <c r="B73" s="218" t="s">
        <v>226</v>
      </c>
      <c r="C73" s="196" t="s">
        <v>455</v>
      </c>
      <c r="D73" s="197" t="s">
        <v>396</v>
      </c>
      <c r="E73" s="197">
        <f>1*1</f>
        <v>1</v>
      </c>
      <c r="F73" s="207"/>
      <c r="G73" s="207" t="str">
        <f>""</f>
        <v/>
      </c>
      <c r="H73" s="195"/>
      <c r="I73" s="198"/>
      <c r="J73" s="199"/>
      <c r="AN73" s="131">
        <v>3</v>
      </c>
    </row>
    <row r="74" spans="1:40" s="131" customFormat="1" outlineLevel="2" x14ac:dyDescent="0.2">
      <c r="A74" s="195" t="s">
        <v>213</v>
      </c>
      <c r="B74" s="218" t="s">
        <v>290</v>
      </c>
      <c r="C74" s="200" t="s">
        <v>456</v>
      </c>
      <c r="D74" s="201" t="s">
        <v>269</v>
      </c>
      <c r="E74" s="201">
        <f>1*1</f>
        <v>1</v>
      </c>
      <c r="F74" s="202">
        <v>1.0939003899999999</v>
      </c>
      <c r="G74" s="202">
        <f>F74*E74</f>
        <v>1.0939003899999999</v>
      </c>
      <c r="H74" s="203" t="s">
        <v>126</v>
      </c>
      <c r="I74" s="204"/>
      <c r="J74" s="205"/>
      <c r="AN74" s="131">
        <v>4</v>
      </c>
    </row>
    <row r="75" spans="1:40" s="131" customFormat="1" outlineLevel="2" x14ac:dyDescent="0.2">
      <c r="A75" s="195" t="s">
        <v>213</v>
      </c>
      <c r="B75" s="218" t="s">
        <v>291</v>
      </c>
      <c r="C75" s="200" t="s">
        <v>457</v>
      </c>
      <c r="D75" s="201" t="s">
        <v>458</v>
      </c>
      <c r="E75" s="201">
        <f>4*1</f>
        <v>4</v>
      </c>
      <c r="F75" s="202">
        <v>4.0194100000000002E-3</v>
      </c>
      <c r="G75" s="202">
        <f>F75*E75</f>
        <v>1.6077640000000001E-2</v>
      </c>
      <c r="H75" s="203" t="s">
        <v>126</v>
      </c>
      <c r="I75" s="204"/>
      <c r="J75" s="205"/>
      <c r="AN75" s="131">
        <v>4</v>
      </c>
    </row>
    <row r="76" spans="1:40" s="131" customFormat="1" outlineLevel="2" x14ac:dyDescent="0.2">
      <c r="A76" s="195" t="s">
        <v>213</v>
      </c>
      <c r="B76" s="218" t="s">
        <v>292</v>
      </c>
      <c r="C76" s="200" t="s">
        <v>459</v>
      </c>
      <c r="D76" s="201" t="s">
        <v>270</v>
      </c>
      <c r="E76" s="201">
        <f>1*1</f>
        <v>1</v>
      </c>
      <c r="F76" s="202">
        <v>2.593869E-2</v>
      </c>
      <c r="G76" s="202">
        <f>F76*E76</f>
        <v>2.593869E-2</v>
      </c>
      <c r="H76" s="203" t="s">
        <v>126</v>
      </c>
      <c r="I76" s="204"/>
      <c r="J76" s="205"/>
      <c r="AN76" s="131">
        <v>4</v>
      </c>
    </row>
    <row r="77" spans="1:40" s="131" customFormat="1" x14ac:dyDescent="0.2">
      <c r="A77" s="195" t="s">
        <v>237</v>
      </c>
      <c r="B77" s="222" t="s">
        <v>226</v>
      </c>
      <c r="C77" s="196" t="s">
        <v>860</v>
      </c>
      <c r="D77" s="197" t="s">
        <v>396</v>
      </c>
      <c r="E77" s="197">
        <v>1</v>
      </c>
      <c r="F77" s="197"/>
      <c r="G77" s="197"/>
      <c r="H77" s="195"/>
      <c r="I77" s="198" t="s">
        <v>864</v>
      </c>
      <c r="J77" s="199"/>
      <c r="AN77" s="131">
        <v>3</v>
      </c>
    </row>
    <row r="78" spans="1:40" s="131" customFormat="1" x14ac:dyDescent="0.2">
      <c r="A78" s="195" t="s">
        <v>213</v>
      </c>
      <c r="B78" s="222" t="s">
        <v>290</v>
      </c>
      <c r="C78" s="200" t="s">
        <v>861</v>
      </c>
      <c r="D78" s="201" t="s">
        <v>269</v>
      </c>
      <c r="E78" s="201">
        <v>1</v>
      </c>
      <c r="F78" s="202">
        <v>1.1260486999999999</v>
      </c>
      <c r="G78" s="202">
        <f>F78*E78</f>
        <v>1.1260486999999999</v>
      </c>
      <c r="H78" s="203">
        <v>1.4300999999999999</v>
      </c>
      <c r="I78" s="198" t="s">
        <v>864</v>
      </c>
      <c r="J78" s="205"/>
      <c r="AN78" s="131">
        <v>4</v>
      </c>
    </row>
    <row r="79" spans="1:40" s="131" customFormat="1" x14ac:dyDescent="0.2">
      <c r="A79" s="195" t="s">
        <v>213</v>
      </c>
      <c r="B79" s="222" t="s">
        <v>291</v>
      </c>
      <c r="C79" s="200" t="s">
        <v>862</v>
      </c>
      <c r="D79" s="201" t="s">
        <v>458</v>
      </c>
      <c r="E79" s="201">
        <v>4</v>
      </c>
      <c r="F79" s="202">
        <v>4.2167100000000002E-3</v>
      </c>
      <c r="G79" s="202">
        <f>F79*E79</f>
        <v>1.6866840000000001E-2</v>
      </c>
      <c r="H79" s="203">
        <v>1.4300999999999999</v>
      </c>
      <c r="I79" s="198" t="s">
        <v>864</v>
      </c>
      <c r="J79" s="205"/>
      <c r="AN79" s="131">
        <v>4</v>
      </c>
    </row>
    <row r="80" spans="1:40" s="131" customFormat="1" x14ac:dyDescent="0.2">
      <c r="A80" s="195" t="s">
        <v>213</v>
      </c>
      <c r="B80" s="222" t="s">
        <v>292</v>
      </c>
      <c r="C80" s="200" t="s">
        <v>863</v>
      </c>
      <c r="D80" s="201" t="s">
        <v>270</v>
      </c>
      <c r="E80" s="201">
        <v>1</v>
      </c>
      <c r="F80" s="202">
        <v>2.6720440000000002E-2</v>
      </c>
      <c r="G80" s="202">
        <f>F80*E80</f>
        <v>2.6720440000000002E-2</v>
      </c>
      <c r="H80" s="203">
        <v>1.4300999999999999</v>
      </c>
      <c r="I80" s="198" t="s">
        <v>864</v>
      </c>
      <c r="J80" s="205"/>
      <c r="AN80" s="131">
        <v>4</v>
      </c>
    </row>
    <row r="81" spans="1:40" s="131" customFormat="1" outlineLevel="1" x14ac:dyDescent="0.2">
      <c r="A81" s="195" t="s">
        <v>237</v>
      </c>
      <c r="B81" s="218" t="s">
        <v>227</v>
      </c>
      <c r="C81" s="196" t="s">
        <v>460</v>
      </c>
      <c r="D81" s="197" t="s">
        <v>217</v>
      </c>
      <c r="E81" s="197">
        <f>1*1</f>
        <v>1</v>
      </c>
      <c r="F81" s="207"/>
      <c r="G81" s="207" t="str">
        <f>""</f>
        <v/>
      </c>
      <c r="H81" s="195"/>
      <c r="I81" s="198"/>
      <c r="J81" s="199"/>
      <c r="AN81" s="131">
        <v>3</v>
      </c>
    </row>
    <row r="82" spans="1:40" s="131" customFormat="1" outlineLevel="2" x14ac:dyDescent="0.2">
      <c r="A82" s="195" t="s">
        <v>213</v>
      </c>
      <c r="B82" s="218" t="s">
        <v>293</v>
      </c>
      <c r="C82" s="200" t="s">
        <v>461</v>
      </c>
      <c r="D82" s="201" t="s">
        <v>271</v>
      </c>
      <c r="E82" s="201">
        <f>1*1</f>
        <v>1</v>
      </c>
      <c r="F82" s="202">
        <v>0.14190992999999999</v>
      </c>
      <c r="G82" s="202">
        <f t="shared" ref="G82:G105" si="5">F82*E82</f>
        <v>0.14190992999999999</v>
      </c>
      <c r="H82" s="203" t="s">
        <v>126</v>
      </c>
      <c r="I82" s="204"/>
      <c r="J82" s="205"/>
      <c r="AN82" s="131">
        <v>4</v>
      </c>
    </row>
    <row r="83" spans="1:40" s="131" customFormat="1" outlineLevel="2" x14ac:dyDescent="0.2">
      <c r="A83" s="195" t="s">
        <v>213</v>
      </c>
      <c r="B83" s="218" t="s">
        <v>294</v>
      </c>
      <c r="C83" s="200" t="s">
        <v>462</v>
      </c>
      <c r="D83" s="201" t="s">
        <v>271</v>
      </c>
      <c r="E83" s="201">
        <f>1*1</f>
        <v>1</v>
      </c>
      <c r="F83" s="202">
        <v>0.14190992999999999</v>
      </c>
      <c r="G83" s="202">
        <f t="shared" si="5"/>
        <v>0.14190992999999999</v>
      </c>
      <c r="H83" s="203" t="s">
        <v>126</v>
      </c>
      <c r="I83" s="204"/>
      <c r="J83" s="205"/>
      <c r="AN83" s="131">
        <v>4</v>
      </c>
    </row>
    <row r="84" spans="1:40" s="131" customFormat="1" outlineLevel="2" x14ac:dyDescent="0.2">
      <c r="A84" s="195" t="s">
        <v>213</v>
      </c>
      <c r="B84" s="218" t="s">
        <v>295</v>
      </c>
      <c r="C84" s="200" t="s">
        <v>456</v>
      </c>
      <c r="D84" s="201" t="s">
        <v>269</v>
      </c>
      <c r="E84" s="201">
        <f>1*1</f>
        <v>1</v>
      </c>
      <c r="F84" s="202">
        <v>1.0939003899999999</v>
      </c>
      <c r="G84" s="202">
        <f t="shared" si="5"/>
        <v>1.0939003899999999</v>
      </c>
      <c r="H84" s="203" t="s">
        <v>126</v>
      </c>
      <c r="I84" s="204"/>
      <c r="J84" s="205"/>
      <c r="AN84" s="131">
        <v>4</v>
      </c>
    </row>
    <row r="85" spans="1:40" s="131" customFormat="1" outlineLevel="2" x14ac:dyDescent="0.2">
      <c r="A85" s="195" t="s">
        <v>213</v>
      </c>
      <c r="B85" s="218" t="s">
        <v>296</v>
      </c>
      <c r="C85" s="200" t="s">
        <v>457</v>
      </c>
      <c r="D85" s="201" t="s">
        <v>458</v>
      </c>
      <c r="E85" s="201">
        <f>4*1</f>
        <v>4</v>
      </c>
      <c r="F85" s="202">
        <v>4.0194100000000002E-3</v>
      </c>
      <c r="G85" s="202">
        <f t="shared" si="5"/>
        <v>1.6077640000000001E-2</v>
      </c>
      <c r="H85" s="203" t="s">
        <v>126</v>
      </c>
      <c r="I85" s="204"/>
      <c r="J85" s="205"/>
      <c r="AN85" s="131">
        <v>4</v>
      </c>
    </row>
    <row r="86" spans="1:40" s="131" customFormat="1" outlineLevel="2" x14ac:dyDescent="0.2">
      <c r="A86" s="195" t="s">
        <v>213</v>
      </c>
      <c r="B86" s="218" t="s">
        <v>297</v>
      </c>
      <c r="C86" s="200" t="s">
        <v>459</v>
      </c>
      <c r="D86" s="201" t="s">
        <v>270</v>
      </c>
      <c r="E86" s="201">
        <f>1*1</f>
        <v>1</v>
      </c>
      <c r="F86" s="202">
        <v>2.593869E-2</v>
      </c>
      <c r="G86" s="202">
        <f t="shared" si="5"/>
        <v>2.593869E-2</v>
      </c>
      <c r="H86" s="203" t="s">
        <v>126</v>
      </c>
      <c r="I86" s="204"/>
      <c r="J86" s="205"/>
      <c r="AN86" s="131">
        <v>4</v>
      </c>
    </row>
    <row r="87" spans="1:40" s="131" customFormat="1" x14ac:dyDescent="0.2">
      <c r="A87" s="195" t="s">
        <v>237</v>
      </c>
      <c r="B87" s="222" t="s">
        <v>227</v>
      </c>
      <c r="C87" s="196" t="s">
        <v>865</v>
      </c>
      <c r="D87" s="197" t="s">
        <v>217</v>
      </c>
      <c r="E87" s="197">
        <v>1</v>
      </c>
      <c r="F87" s="197"/>
      <c r="G87" s="197"/>
      <c r="H87" s="195"/>
      <c r="I87" s="198" t="s">
        <v>864</v>
      </c>
      <c r="J87" s="199"/>
      <c r="AN87" s="131">
        <v>3</v>
      </c>
    </row>
    <row r="88" spans="1:40" s="131" customFormat="1" x14ac:dyDescent="0.2">
      <c r="A88" s="195" t="s">
        <v>213</v>
      </c>
      <c r="B88" s="222" t="s">
        <v>293</v>
      </c>
      <c r="C88" s="200" t="s">
        <v>866</v>
      </c>
      <c r="D88" s="201" t="s">
        <v>271</v>
      </c>
      <c r="E88" s="201">
        <v>1</v>
      </c>
      <c r="F88" s="202">
        <v>0.14497922999999999</v>
      </c>
      <c r="G88" s="202">
        <f>F88*E88</f>
        <v>0.14497922999999999</v>
      </c>
      <c r="H88" s="203">
        <v>1.4300999999999999</v>
      </c>
      <c r="I88" s="198" t="s">
        <v>864</v>
      </c>
      <c r="J88" s="205"/>
      <c r="AN88" s="131">
        <v>4</v>
      </c>
    </row>
    <row r="89" spans="1:40" s="131" customFormat="1" x14ac:dyDescent="0.2">
      <c r="A89" s="195" t="s">
        <v>213</v>
      </c>
      <c r="B89" s="222" t="s">
        <v>294</v>
      </c>
      <c r="C89" s="200" t="s">
        <v>867</v>
      </c>
      <c r="D89" s="201" t="s">
        <v>271</v>
      </c>
      <c r="E89" s="201">
        <v>1</v>
      </c>
      <c r="F89" s="202">
        <v>0.14497922999999999</v>
      </c>
      <c r="G89" s="202">
        <f>F89*E89</f>
        <v>0.14497922999999999</v>
      </c>
      <c r="H89" s="203">
        <v>1.4300999999999999</v>
      </c>
      <c r="I89" s="198" t="s">
        <v>864</v>
      </c>
      <c r="J89" s="205"/>
      <c r="AN89" s="131">
        <v>4</v>
      </c>
    </row>
    <row r="90" spans="1:40" s="131" customFormat="1" x14ac:dyDescent="0.2">
      <c r="A90" s="195" t="s">
        <v>213</v>
      </c>
      <c r="B90" s="222" t="s">
        <v>295</v>
      </c>
      <c r="C90" s="200" t="s">
        <v>861</v>
      </c>
      <c r="D90" s="201" t="s">
        <v>269</v>
      </c>
      <c r="E90" s="201">
        <v>1</v>
      </c>
      <c r="F90" s="202">
        <v>1.1260486999999999</v>
      </c>
      <c r="G90" s="202">
        <f>F90*E90</f>
        <v>1.1260486999999999</v>
      </c>
      <c r="H90" s="203">
        <v>1.4300999999999999</v>
      </c>
      <c r="I90" s="198" t="s">
        <v>864</v>
      </c>
      <c r="J90" s="205"/>
      <c r="AN90" s="131">
        <v>4</v>
      </c>
    </row>
    <row r="91" spans="1:40" s="131" customFormat="1" x14ac:dyDescent="0.2">
      <c r="A91" s="195" t="s">
        <v>213</v>
      </c>
      <c r="B91" s="222" t="s">
        <v>296</v>
      </c>
      <c r="C91" s="200" t="s">
        <v>862</v>
      </c>
      <c r="D91" s="201" t="s">
        <v>458</v>
      </c>
      <c r="E91" s="201">
        <v>4</v>
      </c>
      <c r="F91" s="202">
        <v>4.2167100000000002E-3</v>
      </c>
      <c r="G91" s="202">
        <f>F91*E91</f>
        <v>1.6866840000000001E-2</v>
      </c>
      <c r="H91" s="203">
        <v>1.4300999999999999</v>
      </c>
      <c r="I91" s="198" t="s">
        <v>864</v>
      </c>
      <c r="J91" s="205"/>
      <c r="AN91" s="131">
        <v>4</v>
      </c>
    </row>
    <row r="92" spans="1:40" s="131" customFormat="1" x14ac:dyDescent="0.2">
      <c r="A92" s="195" t="s">
        <v>213</v>
      </c>
      <c r="B92" s="222" t="s">
        <v>297</v>
      </c>
      <c r="C92" s="200" t="s">
        <v>863</v>
      </c>
      <c r="D92" s="201" t="s">
        <v>270</v>
      </c>
      <c r="E92" s="201">
        <v>1</v>
      </c>
      <c r="F92" s="202">
        <v>2.6720440000000002E-2</v>
      </c>
      <c r="G92" s="202">
        <f>F92*E92</f>
        <v>2.6720440000000002E-2</v>
      </c>
      <c r="H92" s="203">
        <v>1.4300999999999999</v>
      </c>
      <c r="I92" s="198" t="s">
        <v>864</v>
      </c>
      <c r="J92" s="205"/>
      <c r="AN92" s="131">
        <v>4</v>
      </c>
    </row>
    <row r="93" spans="1:40" s="131" customFormat="1" ht="25.5" outlineLevel="1" x14ac:dyDescent="0.2">
      <c r="A93" s="195" t="s">
        <v>213</v>
      </c>
      <c r="B93" s="218" t="s">
        <v>228</v>
      </c>
      <c r="C93" s="208" t="s">
        <v>397</v>
      </c>
      <c r="D93" s="206" t="s">
        <v>218</v>
      </c>
      <c r="E93" s="206">
        <f>4*1</f>
        <v>4</v>
      </c>
      <c r="F93" s="209">
        <v>7.9297699999999992E-3</v>
      </c>
      <c r="G93" s="209">
        <f t="shared" si="5"/>
        <v>3.1719079999999997E-2</v>
      </c>
      <c r="H93" s="210" t="s">
        <v>219</v>
      </c>
      <c r="I93" s="211"/>
      <c r="J93" s="212"/>
      <c r="AN93" s="131">
        <v>3</v>
      </c>
    </row>
    <row r="94" spans="1:40" s="131" customFormat="1" outlineLevel="1" x14ac:dyDescent="0.2">
      <c r="A94" s="195" t="s">
        <v>162</v>
      </c>
      <c r="B94" s="218" t="s">
        <v>229</v>
      </c>
      <c r="C94" s="208" t="s">
        <v>463</v>
      </c>
      <c r="D94" s="206" t="s">
        <v>398</v>
      </c>
      <c r="E94" s="206">
        <f>1*1</f>
        <v>1</v>
      </c>
      <c r="F94" s="209">
        <v>0.81010654000000004</v>
      </c>
      <c r="G94" s="209">
        <f t="shared" si="5"/>
        <v>0.81010654000000004</v>
      </c>
      <c r="H94" s="210" t="s">
        <v>126</v>
      </c>
      <c r="I94" s="211"/>
      <c r="J94" s="212"/>
      <c r="AN94" s="131">
        <v>3</v>
      </c>
    </row>
    <row r="95" spans="1:40" s="131" customFormat="1" ht="25.5" outlineLevel="1" x14ac:dyDescent="0.2">
      <c r="A95" s="195" t="s">
        <v>162</v>
      </c>
      <c r="B95" s="218" t="s">
        <v>230</v>
      </c>
      <c r="C95" s="153" t="s">
        <v>464</v>
      </c>
      <c r="D95" s="154" t="s">
        <v>465</v>
      </c>
      <c r="E95" s="154">
        <f>4*1</f>
        <v>4</v>
      </c>
      <c r="F95" s="155">
        <v>1.13686994</v>
      </c>
      <c r="G95" s="155">
        <f t="shared" si="5"/>
        <v>4.5474797599999999</v>
      </c>
      <c r="H95" s="156"/>
      <c r="I95" s="157"/>
      <c r="J95" s="158" t="s">
        <v>967</v>
      </c>
      <c r="AN95" s="131">
        <v>3</v>
      </c>
    </row>
    <row r="96" spans="1:40" s="131" customFormat="1" outlineLevel="1" x14ac:dyDescent="0.2">
      <c r="A96" s="195" t="s">
        <v>162</v>
      </c>
      <c r="B96" s="218" t="s">
        <v>231</v>
      </c>
      <c r="C96" s="153" t="s">
        <v>223</v>
      </c>
      <c r="D96" s="154" t="s">
        <v>224</v>
      </c>
      <c r="E96" s="154">
        <f>4*1</f>
        <v>4</v>
      </c>
      <c r="F96" s="155">
        <v>3.7896599999999998E-3</v>
      </c>
      <c r="G96" s="155">
        <f t="shared" si="5"/>
        <v>1.5158639999999999E-2</v>
      </c>
      <c r="H96" s="156"/>
      <c r="I96" s="157"/>
      <c r="J96" s="158" t="s">
        <v>967</v>
      </c>
      <c r="AN96" s="131">
        <v>3</v>
      </c>
    </row>
    <row r="97" spans="1:40" s="131" customFormat="1" outlineLevel="1" x14ac:dyDescent="0.2">
      <c r="A97" s="195" t="s">
        <v>162</v>
      </c>
      <c r="B97" s="218" t="s">
        <v>232</v>
      </c>
      <c r="C97" s="153" t="s">
        <v>372</v>
      </c>
      <c r="D97" s="154" t="s">
        <v>400</v>
      </c>
      <c r="E97" s="154">
        <f>2*1</f>
        <v>2</v>
      </c>
      <c r="F97" s="155">
        <v>1.4078300000000001E-3</v>
      </c>
      <c r="G97" s="155">
        <f t="shared" si="5"/>
        <v>2.8156600000000002E-3</v>
      </c>
      <c r="H97" s="156"/>
      <c r="I97" s="157"/>
      <c r="J97" s="158" t="s">
        <v>964</v>
      </c>
      <c r="AN97" s="131">
        <v>3</v>
      </c>
    </row>
    <row r="98" spans="1:40" s="131" customFormat="1" outlineLevel="1" x14ac:dyDescent="0.2">
      <c r="A98" s="195" t="s">
        <v>162</v>
      </c>
      <c r="B98" s="218" t="s">
        <v>233</v>
      </c>
      <c r="C98" s="153" t="s">
        <v>220</v>
      </c>
      <c r="D98" s="154" t="s">
        <v>133</v>
      </c>
      <c r="E98" s="154">
        <f>4*1</f>
        <v>4</v>
      </c>
      <c r="F98" s="155">
        <v>1.2429800000000001E-3</v>
      </c>
      <c r="G98" s="155">
        <f t="shared" si="5"/>
        <v>4.9719200000000003E-3</v>
      </c>
      <c r="H98" s="156"/>
      <c r="I98" s="157"/>
      <c r="J98" s="158" t="s">
        <v>966</v>
      </c>
      <c r="AN98" s="131">
        <v>3</v>
      </c>
    </row>
    <row r="99" spans="1:40" s="131" customFormat="1" ht="25.5" outlineLevel="1" x14ac:dyDescent="0.2">
      <c r="A99" s="195" t="s">
        <v>162</v>
      </c>
      <c r="B99" s="218" t="s">
        <v>234</v>
      </c>
      <c r="C99" s="153" t="s">
        <v>182</v>
      </c>
      <c r="D99" s="154" t="s">
        <v>466</v>
      </c>
      <c r="E99" s="154">
        <f>4*1</f>
        <v>4</v>
      </c>
      <c r="F99" s="155">
        <v>2.1730369999999999E-2</v>
      </c>
      <c r="G99" s="155">
        <f t="shared" si="5"/>
        <v>8.6921479999999995E-2</v>
      </c>
      <c r="H99" s="156"/>
      <c r="I99" s="157"/>
      <c r="J99" s="158"/>
      <c r="AN99" s="131">
        <v>3</v>
      </c>
    </row>
    <row r="100" spans="1:40" s="131" customFormat="1" ht="25.5" outlineLevel="1" x14ac:dyDescent="0.2">
      <c r="A100" s="195" t="s">
        <v>162</v>
      </c>
      <c r="B100" s="218" t="s">
        <v>235</v>
      </c>
      <c r="C100" s="153" t="s">
        <v>182</v>
      </c>
      <c r="D100" s="154" t="s">
        <v>467</v>
      </c>
      <c r="E100" s="154">
        <f>2*1</f>
        <v>2</v>
      </c>
      <c r="F100" s="155">
        <v>1.3838680000000001E-2</v>
      </c>
      <c r="G100" s="155">
        <f t="shared" si="5"/>
        <v>2.7677360000000002E-2</v>
      </c>
      <c r="H100" s="156"/>
      <c r="I100" s="157"/>
      <c r="J100" s="158"/>
      <c r="AN100" s="131">
        <v>3</v>
      </c>
    </row>
    <row r="101" spans="1:40" s="131" customFormat="1" ht="25.5" outlineLevel="1" x14ac:dyDescent="0.2">
      <c r="A101" s="195" t="s">
        <v>162</v>
      </c>
      <c r="B101" s="218" t="s">
        <v>236</v>
      </c>
      <c r="C101" s="153" t="s">
        <v>149</v>
      </c>
      <c r="D101" s="154" t="s">
        <v>468</v>
      </c>
      <c r="E101" s="154">
        <f>6*1</f>
        <v>6</v>
      </c>
      <c r="F101" s="155">
        <v>9.0190200000000009E-3</v>
      </c>
      <c r="G101" s="155">
        <f t="shared" si="5"/>
        <v>5.4114120000000002E-2</v>
      </c>
      <c r="H101" s="156"/>
      <c r="I101" s="157"/>
      <c r="J101" s="158"/>
      <c r="AN101" s="131">
        <v>3</v>
      </c>
    </row>
    <row r="102" spans="1:40" s="131" customFormat="1" outlineLevel="1" x14ac:dyDescent="0.2">
      <c r="A102" s="195" t="s">
        <v>162</v>
      </c>
      <c r="B102" s="218" t="s">
        <v>399</v>
      </c>
      <c r="C102" s="153" t="s">
        <v>221</v>
      </c>
      <c r="D102" s="154" t="s">
        <v>222</v>
      </c>
      <c r="E102" s="154">
        <f>2*1</f>
        <v>2</v>
      </c>
      <c r="F102" s="155">
        <v>2.1575700000000001E-3</v>
      </c>
      <c r="G102" s="155">
        <f t="shared" si="5"/>
        <v>4.3151400000000003E-3</v>
      </c>
      <c r="H102" s="156"/>
      <c r="I102" s="157"/>
      <c r="J102" s="158"/>
      <c r="AN102" s="131">
        <v>3</v>
      </c>
    </row>
    <row r="103" spans="1:40" s="131" customFormat="1" x14ac:dyDescent="0.2">
      <c r="A103" s="195" t="s">
        <v>213</v>
      </c>
      <c r="B103" s="218" t="s">
        <v>94</v>
      </c>
      <c r="C103" s="208" t="s">
        <v>469</v>
      </c>
      <c r="D103" s="206" t="s">
        <v>272</v>
      </c>
      <c r="E103" s="206">
        <v>4</v>
      </c>
      <c r="F103" s="209">
        <v>0.03</v>
      </c>
      <c r="G103" s="209">
        <f t="shared" si="5"/>
        <v>0.12</v>
      </c>
      <c r="H103" s="210" t="s">
        <v>126</v>
      </c>
      <c r="I103" s="198" t="s">
        <v>844</v>
      </c>
      <c r="J103" s="212"/>
      <c r="AN103" s="131">
        <v>2</v>
      </c>
    </row>
    <row r="104" spans="1:40" s="131" customFormat="1" x14ac:dyDescent="0.2">
      <c r="A104" s="195" t="s">
        <v>213</v>
      </c>
      <c r="B104" s="218" t="s">
        <v>94</v>
      </c>
      <c r="C104" s="208" t="s">
        <v>469</v>
      </c>
      <c r="D104" s="206" t="s">
        <v>272</v>
      </c>
      <c r="E104" s="206">
        <v>4</v>
      </c>
      <c r="F104" s="209">
        <v>0.03</v>
      </c>
      <c r="G104" s="209">
        <f t="shared" ref="G104" si="6">F104*E104</f>
        <v>0.12</v>
      </c>
      <c r="H104" s="210">
        <v>1.4300999999999999</v>
      </c>
      <c r="I104" s="198" t="s">
        <v>859</v>
      </c>
      <c r="J104" s="212"/>
      <c r="AN104" s="131">
        <v>2</v>
      </c>
    </row>
    <row r="105" spans="1:40" s="131" customFormat="1" x14ac:dyDescent="0.2">
      <c r="A105" s="195" t="s">
        <v>213</v>
      </c>
      <c r="B105" s="218" t="s">
        <v>95</v>
      </c>
      <c r="C105" s="208" t="s">
        <v>470</v>
      </c>
      <c r="D105" s="206" t="s">
        <v>125</v>
      </c>
      <c r="E105" s="206">
        <v>1</v>
      </c>
      <c r="F105" s="209">
        <v>0.32</v>
      </c>
      <c r="G105" s="209">
        <f t="shared" si="5"/>
        <v>0.32</v>
      </c>
      <c r="H105" s="210" t="s">
        <v>126</v>
      </c>
      <c r="I105" s="198" t="s">
        <v>844</v>
      </c>
      <c r="J105" s="212"/>
      <c r="AN105" s="131">
        <v>2</v>
      </c>
    </row>
    <row r="106" spans="1:40" s="131" customFormat="1" x14ac:dyDescent="0.2">
      <c r="A106" s="195" t="s">
        <v>237</v>
      </c>
      <c r="B106" s="218" t="s">
        <v>96</v>
      </c>
      <c r="C106" s="196" t="s">
        <v>471</v>
      </c>
      <c r="D106" s="197" t="s">
        <v>472</v>
      </c>
      <c r="E106" s="197">
        <v>1</v>
      </c>
      <c r="F106" s="207"/>
      <c r="G106" s="207" t="str">
        <f>""</f>
        <v/>
      </c>
      <c r="H106" s="195"/>
      <c r="I106" s="198"/>
      <c r="J106" s="199"/>
      <c r="AN106" s="131">
        <v>2</v>
      </c>
    </row>
    <row r="107" spans="1:40" s="131" customFormat="1" outlineLevel="1" x14ac:dyDescent="0.2">
      <c r="A107" s="195" t="s">
        <v>237</v>
      </c>
      <c r="B107" s="218" t="s">
        <v>188</v>
      </c>
      <c r="C107" s="196" t="s">
        <v>473</v>
      </c>
      <c r="D107" s="197" t="s">
        <v>474</v>
      </c>
      <c r="E107" s="197">
        <f>1*1</f>
        <v>1</v>
      </c>
      <c r="F107" s="207"/>
      <c r="G107" s="207" t="str">
        <f>""</f>
        <v/>
      </c>
      <c r="H107" s="195"/>
      <c r="I107" s="198"/>
      <c r="J107" s="199"/>
      <c r="AN107" s="131">
        <v>3</v>
      </c>
    </row>
    <row r="108" spans="1:40" s="131" customFormat="1" outlineLevel="2" x14ac:dyDescent="0.2">
      <c r="A108" s="195" t="s">
        <v>213</v>
      </c>
      <c r="B108" s="218" t="s">
        <v>334</v>
      </c>
      <c r="C108" s="200" t="s">
        <v>475</v>
      </c>
      <c r="D108" s="201" t="s">
        <v>282</v>
      </c>
      <c r="E108" s="201">
        <f>1*1</f>
        <v>1</v>
      </c>
      <c r="F108" s="202">
        <v>0.81</v>
      </c>
      <c r="G108" s="202">
        <f t="shared" ref="G108:G126" si="7">F108*E108</f>
        <v>0.81</v>
      </c>
      <c r="H108" s="203" t="s">
        <v>126</v>
      </c>
      <c r="I108" s="204"/>
      <c r="J108" s="205"/>
      <c r="AN108" s="131">
        <v>4</v>
      </c>
    </row>
    <row r="109" spans="1:40" s="131" customFormat="1" outlineLevel="2" x14ac:dyDescent="0.2">
      <c r="A109" s="195" t="s">
        <v>213</v>
      </c>
      <c r="B109" s="218" t="s">
        <v>335</v>
      </c>
      <c r="C109" s="200" t="s">
        <v>387</v>
      </c>
      <c r="D109" s="201" t="s">
        <v>283</v>
      </c>
      <c r="E109" s="201">
        <f>2*1</f>
        <v>2</v>
      </c>
      <c r="F109" s="202">
        <v>0.05</v>
      </c>
      <c r="G109" s="202">
        <f t="shared" si="7"/>
        <v>0.1</v>
      </c>
      <c r="H109" s="203" t="s">
        <v>126</v>
      </c>
      <c r="I109" s="204"/>
      <c r="J109" s="205"/>
      <c r="AN109" s="131">
        <v>4</v>
      </c>
    </row>
    <row r="110" spans="1:40" s="131" customFormat="1" outlineLevel="2" x14ac:dyDescent="0.2">
      <c r="A110" s="195" t="s">
        <v>213</v>
      </c>
      <c r="B110" s="218" t="s">
        <v>336</v>
      </c>
      <c r="C110" s="200" t="s">
        <v>476</v>
      </c>
      <c r="D110" s="201" t="s">
        <v>477</v>
      </c>
      <c r="E110" s="201">
        <f>2*1</f>
        <v>2</v>
      </c>
      <c r="F110" s="202">
        <v>0.1</v>
      </c>
      <c r="G110" s="202">
        <f t="shared" si="7"/>
        <v>0.2</v>
      </c>
      <c r="H110" s="203" t="s">
        <v>126</v>
      </c>
      <c r="I110" s="204"/>
      <c r="J110" s="205"/>
      <c r="AN110" s="131">
        <v>4</v>
      </c>
    </row>
    <row r="111" spans="1:40" s="131" customFormat="1" outlineLevel="2" x14ac:dyDescent="0.2">
      <c r="A111" s="195" t="s">
        <v>213</v>
      </c>
      <c r="B111" s="218" t="s">
        <v>337</v>
      </c>
      <c r="C111" s="200" t="s">
        <v>478</v>
      </c>
      <c r="D111" s="201" t="s">
        <v>479</v>
      </c>
      <c r="E111" s="201">
        <f>1*1</f>
        <v>1</v>
      </c>
      <c r="F111" s="202">
        <v>0.67</v>
      </c>
      <c r="G111" s="202">
        <f t="shared" si="7"/>
        <v>0.67</v>
      </c>
      <c r="H111" s="203" t="s">
        <v>126</v>
      </c>
      <c r="I111" s="204"/>
      <c r="J111" s="205"/>
      <c r="AN111" s="131">
        <v>4</v>
      </c>
    </row>
    <row r="112" spans="1:40" s="131" customFormat="1" outlineLevel="2" x14ac:dyDescent="0.2">
      <c r="A112" s="195" t="s">
        <v>213</v>
      </c>
      <c r="B112" s="218" t="s">
        <v>338</v>
      </c>
      <c r="C112" s="200" t="s">
        <v>480</v>
      </c>
      <c r="D112" s="201" t="s">
        <v>481</v>
      </c>
      <c r="E112" s="201">
        <f>2*1</f>
        <v>2</v>
      </c>
      <c r="F112" s="202">
        <v>0.02</v>
      </c>
      <c r="G112" s="202">
        <f t="shared" si="7"/>
        <v>0.04</v>
      </c>
      <c r="H112" s="203" t="s">
        <v>126</v>
      </c>
      <c r="I112" s="204"/>
      <c r="J112" s="205"/>
      <c r="AN112" s="131">
        <v>4</v>
      </c>
    </row>
    <row r="113" spans="1:40" s="131" customFormat="1" outlineLevel="2" x14ac:dyDescent="0.2">
      <c r="A113" s="195" t="s">
        <v>213</v>
      </c>
      <c r="B113" s="218" t="s">
        <v>339</v>
      </c>
      <c r="C113" s="200" t="s">
        <v>482</v>
      </c>
      <c r="D113" s="201" t="s">
        <v>483</v>
      </c>
      <c r="E113" s="201">
        <f>1*1</f>
        <v>1</v>
      </c>
      <c r="F113" s="202">
        <v>3.07</v>
      </c>
      <c r="G113" s="202">
        <f t="shared" si="7"/>
        <v>3.07</v>
      </c>
      <c r="H113" s="203" t="s">
        <v>126</v>
      </c>
      <c r="I113" s="204"/>
      <c r="J113" s="205"/>
      <c r="AN113" s="131">
        <v>4</v>
      </c>
    </row>
    <row r="114" spans="1:40" s="131" customFormat="1" outlineLevel="2" x14ac:dyDescent="0.2">
      <c r="A114" s="195" t="s">
        <v>213</v>
      </c>
      <c r="B114" s="218" t="s">
        <v>340</v>
      </c>
      <c r="C114" s="200" t="s">
        <v>484</v>
      </c>
      <c r="D114" s="201" t="s">
        <v>483</v>
      </c>
      <c r="E114" s="201">
        <f>1*1</f>
        <v>1</v>
      </c>
      <c r="F114" s="202">
        <v>3.07</v>
      </c>
      <c r="G114" s="202">
        <f t="shared" si="7"/>
        <v>3.07</v>
      </c>
      <c r="H114" s="203" t="s">
        <v>126</v>
      </c>
      <c r="I114" s="204"/>
      <c r="J114" s="205"/>
      <c r="AN114" s="131">
        <v>4</v>
      </c>
    </row>
    <row r="115" spans="1:40" s="131" customFormat="1" outlineLevel="2" x14ac:dyDescent="0.2">
      <c r="A115" s="195" t="s">
        <v>213</v>
      </c>
      <c r="B115" s="218" t="s">
        <v>341</v>
      </c>
      <c r="C115" s="200" t="s">
        <v>485</v>
      </c>
      <c r="D115" s="201" t="s">
        <v>486</v>
      </c>
      <c r="E115" s="201">
        <f>1*1</f>
        <v>1</v>
      </c>
      <c r="F115" s="202">
        <v>0.09</v>
      </c>
      <c r="G115" s="202">
        <f t="shared" si="7"/>
        <v>0.09</v>
      </c>
      <c r="H115" s="203" t="s">
        <v>126</v>
      </c>
      <c r="I115" s="204"/>
      <c r="J115" s="205"/>
      <c r="AN115" s="131">
        <v>4</v>
      </c>
    </row>
    <row r="116" spans="1:40" s="131" customFormat="1" outlineLevel="2" x14ac:dyDescent="0.2">
      <c r="A116" s="195" t="s">
        <v>213</v>
      </c>
      <c r="B116" s="218" t="s">
        <v>342</v>
      </c>
      <c r="C116" s="200" t="s">
        <v>487</v>
      </c>
      <c r="D116" s="201" t="s">
        <v>488</v>
      </c>
      <c r="E116" s="201">
        <f>1*1</f>
        <v>1</v>
      </c>
      <c r="F116" s="202">
        <v>0.03</v>
      </c>
      <c r="G116" s="202">
        <f t="shared" si="7"/>
        <v>0.03</v>
      </c>
      <c r="H116" s="203" t="s">
        <v>126</v>
      </c>
      <c r="I116" s="204"/>
      <c r="J116" s="205"/>
      <c r="AN116" s="131">
        <v>4</v>
      </c>
    </row>
    <row r="117" spans="1:40" s="131" customFormat="1" outlineLevel="2" x14ac:dyDescent="0.2">
      <c r="A117" s="195" t="s">
        <v>213</v>
      </c>
      <c r="B117" s="218" t="s">
        <v>343</v>
      </c>
      <c r="C117" s="200" t="s">
        <v>489</v>
      </c>
      <c r="D117" s="201" t="s">
        <v>490</v>
      </c>
      <c r="E117" s="201">
        <f>4*1</f>
        <v>4</v>
      </c>
      <c r="F117" s="202">
        <v>0.01</v>
      </c>
      <c r="G117" s="202">
        <f t="shared" si="7"/>
        <v>0.04</v>
      </c>
      <c r="H117" s="203" t="s">
        <v>126</v>
      </c>
      <c r="I117" s="204"/>
      <c r="J117" s="205"/>
      <c r="AN117" s="131">
        <v>4</v>
      </c>
    </row>
    <row r="118" spans="1:40" s="131" customFormat="1" outlineLevel="2" x14ac:dyDescent="0.2">
      <c r="A118" s="195" t="s">
        <v>213</v>
      </c>
      <c r="B118" s="218" t="s">
        <v>344</v>
      </c>
      <c r="C118" s="200" t="s">
        <v>388</v>
      </c>
      <c r="D118" s="201" t="s">
        <v>389</v>
      </c>
      <c r="E118" s="201">
        <f>1*1</f>
        <v>1</v>
      </c>
      <c r="F118" s="202">
        <v>0.04</v>
      </c>
      <c r="G118" s="202">
        <f t="shared" si="7"/>
        <v>0.04</v>
      </c>
      <c r="H118" s="203" t="s">
        <v>126</v>
      </c>
      <c r="I118" s="204"/>
      <c r="J118" s="205"/>
      <c r="AN118" s="131">
        <v>4</v>
      </c>
    </row>
    <row r="119" spans="1:40" s="131" customFormat="1" outlineLevel="2" x14ac:dyDescent="0.2">
      <c r="A119" s="195" t="s">
        <v>213</v>
      </c>
      <c r="B119" s="218" t="s">
        <v>345</v>
      </c>
      <c r="C119" s="200" t="s">
        <v>491</v>
      </c>
      <c r="D119" s="201" t="s">
        <v>492</v>
      </c>
      <c r="E119" s="201">
        <f>1*1</f>
        <v>1</v>
      </c>
      <c r="F119" s="202">
        <v>0.13</v>
      </c>
      <c r="G119" s="202">
        <f t="shared" si="7"/>
        <v>0.13</v>
      </c>
      <c r="H119" s="203" t="s">
        <v>126</v>
      </c>
      <c r="I119" s="204"/>
      <c r="J119" s="205"/>
      <c r="AN119" s="131">
        <v>4</v>
      </c>
    </row>
    <row r="120" spans="1:40" s="131" customFormat="1" outlineLevel="2" x14ac:dyDescent="0.2">
      <c r="A120" s="195" t="s">
        <v>213</v>
      </c>
      <c r="B120" s="218" t="s">
        <v>346</v>
      </c>
      <c r="C120" s="200" t="s">
        <v>493</v>
      </c>
      <c r="D120" s="201" t="s">
        <v>494</v>
      </c>
      <c r="E120" s="201">
        <f>1*1</f>
        <v>1</v>
      </c>
      <c r="F120" s="202">
        <v>0.46</v>
      </c>
      <c r="G120" s="202">
        <f t="shared" si="7"/>
        <v>0.46</v>
      </c>
      <c r="H120" s="203" t="s">
        <v>126</v>
      </c>
      <c r="I120" s="204"/>
      <c r="J120" s="205"/>
      <c r="AN120" s="131">
        <v>4</v>
      </c>
    </row>
    <row r="121" spans="1:40" s="131" customFormat="1" outlineLevel="2" x14ac:dyDescent="0.2">
      <c r="A121" s="195" t="s">
        <v>213</v>
      </c>
      <c r="B121" s="218" t="s">
        <v>347</v>
      </c>
      <c r="C121" s="200" t="s">
        <v>495</v>
      </c>
      <c r="D121" s="201" t="s">
        <v>496</v>
      </c>
      <c r="E121" s="201">
        <f>2*1</f>
        <v>2</v>
      </c>
      <c r="F121" s="202">
        <v>0.49</v>
      </c>
      <c r="G121" s="202">
        <f t="shared" si="7"/>
        <v>0.98</v>
      </c>
      <c r="H121" s="203" t="s">
        <v>126</v>
      </c>
      <c r="I121" s="204"/>
      <c r="J121" s="205"/>
      <c r="AN121" s="131">
        <v>4</v>
      </c>
    </row>
    <row r="122" spans="1:40" s="131" customFormat="1" outlineLevel="2" x14ac:dyDescent="0.2">
      <c r="A122" s="195" t="s">
        <v>213</v>
      </c>
      <c r="B122" s="218" t="s">
        <v>348</v>
      </c>
      <c r="C122" s="200" t="s">
        <v>497</v>
      </c>
      <c r="D122" s="201" t="s">
        <v>498</v>
      </c>
      <c r="E122" s="201">
        <f>2*1</f>
        <v>2</v>
      </c>
      <c r="F122" s="202">
        <v>0.45</v>
      </c>
      <c r="G122" s="202">
        <f t="shared" si="7"/>
        <v>0.9</v>
      </c>
      <c r="H122" s="203" t="s">
        <v>126</v>
      </c>
      <c r="I122" s="204"/>
      <c r="J122" s="205"/>
      <c r="AN122" s="131">
        <v>4</v>
      </c>
    </row>
    <row r="123" spans="1:40" s="131" customFormat="1" outlineLevel="2" x14ac:dyDescent="0.2">
      <c r="A123" s="195" t="s">
        <v>213</v>
      </c>
      <c r="B123" s="218" t="s">
        <v>499</v>
      </c>
      <c r="C123" s="200" t="s">
        <v>500</v>
      </c>
      <c r="D123" s="201" t="s">
        <v>501</v>
      </c>
      <c r="E123" s="201">
        <f>2*1</f>
        <v>2</v>
      </c>
      <c r="F123" s="202">
        <v>7.0000000000000007E-2</v>
      </c>
      <c r="G123" s="202">
        <f t="shared" si="7"/>
        <v>0.14000000000000001</v>
      </c>
      <c r="H123" s="203" t="s">
        <v>126</v>
      </c>
      <c r="I123" s="204"/>
      <c r="J123" s="205"/>
      <c r="AN123" s="131">
        <v>4</v>
      </c>
    </row>
    <row r="124" spans="1:40" s="131" customFormat="1" outlineLevel="2" x14ac:dyDescent="0.2">
      <c r="A124" s="195" t="s">
        <v>213</v>
      </c>
      <c r="B124" s="218" t="s">
        <v>502</v>
      </c>
      <c r="C124" s="200" t="s">
        <v>503</v>
      </c>
      <c r="D124" s="201" t="s">
        <v>504</v>
      </c>
      <c r="E124" s="201">
        <f>2*1</f>
        <v>2</v>
      </c>
      <c r="F124" s="202">
        <v>0.03</v>
      </c>
      <c r="G124" s="202">
        <f t="shared" si="7"/>
        <v>0.06</v>
      </c>
      <c r="H124" s="203" t="s">
        <v>126</v>
      </c>
      <c r="I124" s="204"/>
      <c r="J124" s="205"/>
      <c r="AN124" s="131">
        <v>4</v>
      </c>
    </row>
    <row r="125" spans="1:40" s="131" customFormat="1" outlineLevel="2" x14ac:dyDescent="0.2">
      <c r="A125" s="195" t="s">
        <v>213</v>
      </c>
      <c r="B125" s="218" t="s">
        <v>505</v>
      </c>
      <c r="C125" s="200" t="s">
        <v>506</v>
      </c>
      <c r="D125" s="201" t="s">
        <v>507</v>
      </c>
      <c r="E125" s="201">
        <f>1*1</f>
        <v>1</v>
      </c>
      <c r="F125" s="202">
        <v>0.39</v>
      </c>
      <c r="G125" s="202">
        <f t="shared" si="7"/>
        <v>0.39</v>
      </c>
      <c r="H125" s="203" t="s">
        <v>126</v>
      </c>
      <c r="I125" s="204"/>
      <c r="J125" s="205"/>
      <c r="AN125" s="131">
        <v>4</v>
      </c>
    </row>
    <row r="126" spans="1:40" s="131" customFormat="1" outlineLevel="2" x14ac:dyDescent="0.2">
      <c r="A126" s="195" t="s">
        <v>213</v>
      </c>
      <c r="B126" s="218" t="s">
        <v>508</v>
      </c>
      <c r="C126" s="200" t="s">
        <v>509</v>
      </c>
      <c r="D126" s="201" t="s">
        <v>510</v>
      </c>
      <c r="E126" s="201">
        <f>2*1</f>
        <v>2</v>
      </c>
      <c r="F126" s="202">
        <v>0.02</v>
      </c>
      <c r="G126" s="202">
        <f t="shared" si="7"/>
        <v>0.04</v>
      </c>
      <c r="H126" s="203" t="s">
        <v>126</v>
      </c>
      <c r="I126" s="204"/>
      <c r="J126" s="205"/>
      <c r="AN126" s="131">
        <v>4</v>
      </c>
    </row>
    <row r="127" spans="1:40" s="131" customFormat="1" outlineLevel="2" x14ac:dyDescent="0.2">
      <c r="A127" s="195" t="s">
        <v>162</v>
      </c>
      <c r="B127" s="218" t="s">
        <v>511</v>
      </c>
      <c r="C127" s="153" t="s">
        <v>284</v>
      </c>
      <c r="D127" s="154" t="s">
        <v>285</v>
      </c>
      <c r="E127" s="154">
        <f>12*1</f>
        <v>12</v>
      </c>
      <c r="F127" s="155">
        <v>0</v>
      </c>
      <c r="G127" s="155">
        <f>F127*E127</f>
        <v>0</v>
      </c>
      <c r="H127" s="156"/>
      <c r="I127" s="157"/>
      <c r="J127" s="158"/>
      <c r="AN127" s="131">
        <v>4</v>
      </c>
    </row>
    <row r="128" spans="1:40" s="131" customFormat="1" x14ac:dyDescent="0.2">
      <c r="A128" s="195" t="s">
        <v>237</v>
      </c>
      <c r="B128" s="222" t="s">
        <v>188</v>
      </c>
      <c r="C128" s="196" t="s">
        <v>837</v>
      </c>
      <c r="D128" s="197" t="s">
        <v>474</v>
      </c>
      <c r="E128" s="197">
        <v>1</v>
      </c>
      <c r="F128" s="197"/>
      <c r="G128" s="197"/>
      <c r="H128" s="195"/>
      <c r="I128" s="198" t="s">
        <v>840</v>
      </c>
      <c r="J128" s="199"/>
      <c r="AN128" s="131">
        <v>3</v>
      </c>
    </row>
    <row r="129" spans="1:40" s="131" customFormat="1" x14ac:dyDescent="0.2">
      <c r="A129" s="195" t="s">
        <v>213</v>
      </c>
      <c r="B129" s="222" t="s">
        <v>334</v>
      </c>
      <c r="C129" s="200" t="s">
        <v>475</v>
      </c>
      <c r="D129" s="201" t="s">
        <v>282</v>
      </c>
      <c r="E129" s="201">
        <v>1</v>
      </c>
      <c r="F129" s="202">
        <v>0.81</v>
      </c>
      <c r="G129" s="202">
        <f t="shared" ref="G129:G147" si="8">F129*E129</f>
        <v>0.81</v>
      </c>
      <c r="H129" s="203" t="s">
        <v>126</v>
      </c>
      <c r="I129" s="198" t="s">
        <v>840</v>
      </c>
      <c r="J129" s="205"/>
      <c r="AN129" s="131">
        <v>4</v>
      </c>
    </row>
    <row r="130" spans="1:40" s="131" customFormat="1" x14ac:dyDescent="0.2">
      <c r="A130" s="195" t="s">
        <v>213</v>
      </c>
      <c r="B130" s="222" t="s">
        <v>335</v>
      </c>
      <c r="C130" s="200" t="s">
        <v>387</v>
      </c>
      <c r="D130" s="201" t="s">
        <v>283</v>
      </c>
      <c r="E130" s="201">
        <v>2</v>
      </c>
      <c r="F130" s="202">
        <v>0.05</v>
      </c>
      <c r="G130" s="202">
        <f t="shared" si="8"/>
        <v>0.1</v>
      </c>
      <c r="H130" s="203" t="s">
        <v>126</v>
      </c>
      <c r="I130" s="198" t="s">
        <v>840</v>
      </c>
      <c r="J130" s="205"/>
      <c r="AN130" s="131">
        <v>4</v>
      </c>
    </row>
    <row r="131" spans="1:40" s="131" customFormat="1" x14ac:dyDescent="0.2">
      <c r="A131" s="195" t="s">
        <v>213</v>
      </c>
      <c r="B131" s="222" t="s">
        <v>336</v>
      </c>
      <c r="C131" s="200" t="s">
        <v>476</v>
      </c>
      <c r="D131" s="201" t="s">
        <v>477</v>
      </c>
      <c r="E131" s="201">
        <v>2</v>
      </c>
      <c r="F131" s="202">
        <v>0.1</v>
      </c>
      <c r="G131" s="202">
        <f t="shared" si="8"/>
        <v>0.2</v>
      </c>
      <c r="H131" s="203" t="s">
        <v>126</v>
      </c>
      <c r="I131" s="198" t="s">
        <v>840</v>
      </c>
      <c r="J131" s="205"/>
      <c r="AN131" s="131">
        <v>4</v>
      </c>
    </row>
    <row r="132" spans="1:40" s="131" customFormat="1" x14ac:dyDescent="0.2">
      <c r="A132" s="195" t="s">
        <v>213</v>
      </c>
      <c r="B132" s="222" t="s">
        <v>337</v>
      </c>
      <c r="C132" s="200" t="s">
        <v>478</v>
      </c>
      <c r="D132" s="201" t="s">
        <v>479</v>
      </c>
      <c r="E132" s="201">
        <v>1</v>
      </c>
      <c r="F132" s="202">
        <v>0.67</v>
      </c>
      <c r="G132" s="202">
        <f t="shared" si="8"/>
        <v>0.67</v>
      </c>
      <c r="H132" s="203" t="s">
        <v>126</v>
      </c>
      <c r="I132" s="198" t="s">
        <v>840</v>
      </c>
      <c r="J132" s="205"/>
      <c r="AN132" s="131">
        <v>4</v>
      </c>
    </row>
    <row r="133" spans="1:40" s="131" customFormat="1" x14ac:dyDescent="0.2">
      <c r="A133" s="195" t="s">
        <v>213</v>
      </c>
      <c r="B133" s="222" t="s">
        <v>338</v>
      </c>
      <c r="C133" s="200" t="s">
        <v>480</v>
      </c>
      <c r="D133" s="201" t="s">
        <v>481</v>
      </c>
      <c r="E133" s="201">
        <v>2</v>
      </c>
      <c r="F133" s="202">
        <v>0.02</v>
      </c>
      <c r="G133" s="202">
        <f t="shared" si="8"/>
        <v>0.04</v>
      </c>
      <c r="H133" s="203" t="s">
        <v>126</v>
      </c>
      <c r="I133" s="198" t="s">
        <v>840</v>
      </c>
      <c r="J133" s="205"/>
      <c r="AN133" s="131">
        <v>4</v>
      </c>
    </row>
    <row r="134" spans="1:40" s="131" customFormat="1" x14ac:dyDescent="0.2">
      <c r="A134" s="195" t="s">
        <v>213</v>
      </c>
      <c r="B134" s="222" t="s">
        <v>339</v>
      </c>
      <c r="C134" s="200" t="s">
        <v>482</v>
      </c>
      <c r="D134" s="201" t="s">
        <v>483</v>
      </c>
      <c r="E134" s="201">
        <v>1</v>
      </c>
      <c r="F134" s="202">
        <v>3.07</v>
      </c>
      <c r="G134" s="202">
        <f t="shared" si="8"/>
        <v>3.07</v>
      </c>
      <c r="H134" s="203" t="s">
        <v>126</v>
      </c>
      <c r="I134" s="198" t="s">
        <v>840</v>
      </c>
      <c r="J134" s="205"/>
      <c r="AN134" s="131">
        <v>4</v>
      </c>
    </row>
    <row r="135" spans="1:40" s="131" customFormat="1" x14ac:dyDescent="0.2">
      <c r="A135" s="195" t="s">
        <v>213</v>
      </c>
      <c r="B135" s="222" t="s">
        <v>340</v>
      </c>
      <c r="C135" s="200" t="s">
        <v>484</v>
      </c>
      <c r="D135" s="201" t="s">
        <v>483</v>
      </c>
      <c r="E135" s="201">
        <v>1</v>
      </c>
      <c r="F135" s="202">
        <v>3.07</v>
      </c>
      <c r="G135" s="202">
        <f t="shared" si="8"/>
        <v>3.07</v>
      </c>
      <c r="H135" s="203" t="s">
        <v>126</v>
      </c>
      <c r="I135" s="198" t="s">
        <v>840</v>
      </c>
      <c r="J135" s="205"/>
      <c r="AN135" s="131">
        <v>4</v>
      </c>
    </row>
    <row r="136" spans="1:40" s="131" customFormat="1" x14ac:dyDescent="0.2">
      <c r="A136" s="195" t="s">
        <v>213</v>
      </c>
      <c r="B136" s="222" t="s">
        <v>341</v>
      </c>
      <c r="C136" s="200" t="s">
        <v>485</v>
      </c>
      <c r="D136" s="201" t="s">
        <v>486</v>
      </c>
      <c r="E136" s="201">
        <v>1</v>
      </c>
      <c r="F136" s="202">
        <v>0.09</v>
      </c>
      <c r="G136" s="202">
        <f t="shared" si="8"/>
        <v>0.09</v>
      </c>
      <c r="H136" s="203" t="s">
        <v>126</v>
      </c>
      <c r="I136" s="198" t="s">
        <v>840</v>
      </c>
      <c r="J136" s="205"/>
      <c r="AN136" s="131">
        <v>4</v>
      </c>
    </row>
    <row r="137" spans="1:40" s="131" customFormat="1" x14ac:dyDescent="0.2">
      <c r="A137" s="195" t="s">
        <v>213</v>
      </c>
      <c r="B137" s="222" t="s">
        <v>342</v>
      </c>
      <c r="C137" s="200" t="s">
        <v>487</v>
      </c>
      <c r="D137" s="201" t="s">
        <v>488</v>
      </c>
      <c r="E137" s="201">
        <v>1</v>
      </c>
      <c r="F137" s="202">
        <v>0.03</v>
      </c>
      <c r="G137" s="202">
        <f t="shared" si="8"/>
        <v>0.03</v>
      </c>
      <c r="H137" s="203" t="s">
        <v>126</v>
      </c>
      <c r="I137" s="198" t="s">
        <v>840</v>
      </c>
      <c r="J137" s="205"/>
      <c r="AN137" s="131">
        <v>4</v>
      </c>
    </row>
    <row r="138" spans="1:40" s="131" customFormat="1" x14ac:dyDescent="0.2">
      <c r="A138" s="195" t="s">
        <v>213</v>
      </c>
      <c r="B138" s="222" t="s">
        <v>343</v>
      </c>
      <c r="C138" s="200" t="s">
        <v>489</v>
      </c>
      <c r="D138" s="201" t="s">
        <v>490</v>
      </c>
      <c r="E138" s="201">
        <v>4</v>
      </c>
      <c r="F138" s="202">
        <v>0.01</v>
      </c>
      <c r="G138" s="202">
        <f t="shared" si="8"/>
        <v>0.04</v>
      </c>
      <c r="H138" s="203" t="s">
        <v>126</v>
      </c>
      <c r="I138" s="198" t="s">
        <v>840</v>
      </c>
      <c r="J138" s="205"/>
      <c r="AN138" s="131">
        <v>4</v>
      </c>
    </row>
    <row r="139" spans="1:40" s="131" customFormat="1" x14ac:dyDescent="0.2">
      <c r="A139" s="195" t="s">
        <v>213</v>
      </c>
      <c r="B139" s="222" t="s">
        <v>344</v>
      </c>
      <c r="C139" s="200" t="s">
        <v>388</v>
      </c>
      <c r="D139" s="201" t="s">
        <v>389</v>
      </c>
      <c r="E139" s="201">
        <v>1</v>
      </c>
      <c r="F139" s="202">
        <v>0.04</v>
      </c>
      <c r="G139" s="202">
        <f t="shared" si="8"/>
        <v>0.04</v>
      </c>
      <c r="H139" s="203" t="s">
        <v>126</v>
      </c>
      <c r="I139" s="198" t="s">
        <v>840</v>
      </c>
      <c r="J139" s="205"/>
      <c r="AN139" s="131">
        <v>4</v>
      </c>
    </row>
    <row r="140" spans="1:40" s="131" customFormat="1" x14ac:dyDescent="0.2">
      <c r="A140" s="195" t="s">
        <v>213</v>
      </c>
      <c r="B140" s="222" t="s">
        <v>345</v>
      </c>
      <c r="C140" s="200" t="s">
        <v>491</v>
      </c>
      <c r="D140" s="201" t="s">
        <v>492</v>
      </c>
      <c r="E140" s="201">
        <v>1</v>
      </c>
      <c r="F140" s="202">
        <v>0.13</v>
      </c>
      <c r="G140" s="202">
        <f t="shared" si="8"/>
        <v>0.13</v>
      </c>
      <c r="H140" s="203" t="s">
        <v>126</v>
      </c>
      <c r="I140" s="198" t="s">
        <v>840</v>
      </c>
      <c r="J140" s="205"/>
      <c r="AN140" s="131">
        <v>4</v>
      </c>
    </row>
    <row r="141" spans="1:40" s="131" customFormat="1" x14ac:dyDescent="0.2">
      <c r="A141" s="195" t="s">
        <v>213</v>
      </c>
      <c r="B141" s="222" t="s">
        <v>346</v>
      </c>
      <c r="C141" s="200" t="s">
        <v>493</v>
      </c>
      <c r="D141" s="201" t="s">
        <v>494</v>
      </c>
      <c r="E141" s="201">
        <v>1</v>
      </c>
      <c r="F141" s="202">
        <v>0.46</v>
      </c>
      <c r="G141" s="202">
        <f t="shared" si="8"/>
        <v>0.46</v>
      </c>
      <c r="H141" s="203" t="s">
        <v>126</v>
      </c>
      <c r="I141" s="198" t="s">
        <v>840</v>
      </c>
      <c r="J141" s="205"/>
      <c r="AN141" s="131">
        <v>4</v>
      </c>
    </row>
    <row r="142" spans="1:40" s="131" customFormat="1" x14ac:dyDescent="0.2">
      <c r="A142" s="195" t="s">
        <v>213</v>
      </c>
      <c r="B142" s="222" t="s">
        <v>347</v>
      </c>
      <c r="C142" s="200" t="s">
        <v>500</v>
      </c>
      <c r="D142" s="201" t="s">
        <v>501</v>
      </c>
      <c r="E142" s="201">
        <v>2</v>
      </c>
      <c r="F142" s="202">
        <v>7.0000000000000007E-2</v>
      </c>
      <c r="G142" s="202">
        <f t="shared" si="8"/>
        <v>0.14000000000000001</v>
      </c>
      <c r="H142" s="203" t="s">
        <v>126</v>
      </c>
      <c r="I142" s="198" t="s">
        <v>840</v>
      </c>
      <c r="J142" s="205"/>
      <c r="AN142" s="131">
        <v>4</v>
      </c>
    </row>
    <row r="143" spans="1:40" s="131" customFormat="1" x14ac:dyDescent="0.2">
      <c r="A143" s="195" t="s">
        <v>213</v>
      </c>
      <c r="B143" s="222" t="s">
        <v>348</v>
      </c>
      <c r="C143" s="200" t="s">
        <v>503</v>
      </c>
      <c r="D143" s="201" t="s">
        <v>504</v>
      </c>
      <c r="E143" s="201">
        <v>2</v>
      </c>
      <c r="F143" s="202">
        <v>0.03</v>
      </c>
      <c r="G143" s="202">
        <f t="shared" si="8"/>
        <v>0.06</v>
      </c>
      <c r="H143" s="203" t="s">
        <v>126</v>
      </c>
      <c r="I143" s="198" t="s">
        <v>840</v>
      </c>
      <c r="J143" s="205"/>
      <c r="AN143" s="131">
        <v>4</v>
      </c>
    </row>
    <row r="144" spans="1:40" s="131" customFormat="1" x14ac:dyDescent="0.2">
      <c r="A144" s="195" t="s">
        <v>213</v>
      </c>
      <c r="B144" s="222" t="s">
        <v>499</v>
      </c>
      <c r="C144" s="200" t="s">
        <v>506</v>
      </c>
      <c r="D144" s="201" t="s">
        <v>507</v>
      </c>
      <c r="E144" s="201">
        <v>1</v>
      </c>
      <c r="F144" s="202">
        <v>0.39</v>
      </c>
      <c r="G144" s="202">
        <f t="shared" si="8"/>
        <v>0.39</v>
      </c>
      <c r="H144" s="203" t="s">
        <v>126</v>
      </c>
      <c r="I144" s="198" t="s">
        <v>840</v>
      </c>
      <c r="J144" s="205"/>
      <c r="AN144" s="131">
        <v>4</v>
      </c>
    </row>
    <row r="145" spans="1:40" s="131" customFormat="1" x14ac:dyDescent="0.2">
      <c r="A145" s="195" t="s">
        <v>213</v>
      </c>
      <c r="B145" s="222" t="s">
        <v>502</v>
      </c>
      <c r="C145" s="200" t="s">
        <v>509</v>
      </c>
      <c r="D145" s="201" t="s">
        <v>510</v>
      </c>
      <c r="E145" s="201">
        <v>2</v>
      </c>
      <c r="F145" s="202">
        <v>0.02</v>
      </c>
      <c r="G145" s="202">
        <f t="shared" si="8"/>
        <v>0.04</v>
      </c>
      <c r="H145" s="203" t="s">
        <v>126</v>
      </c>
      <c r="I145" s="198" t="s">
        <v>840</v>
      </c>
      <c r="J145" s="205"/>
      <c r="AN145" s="131">
        <v>4</v>
      </c>
    </row>
    <row r="146" spans="1:40" s="131" customFormat="1" x14ac:dyDescent="0.2">
      <c r="A146" s="195" t="s">
        <v>213</v>
      </c>
      <c r="B146" s="222" t="s">
        <v>505</v>
      </c>
      <c r="C146" s="200" t="s">
        <v>838</v>
      </c>
      <c r="D146" s="201" t="s">
        <v>839</v>
      </c>
      <c r="E146" s="201">
        <v>2</v>
      </c>
      <c r="F146" s="202">
        <v>0.24</v>
      </c>
      <c r="G146" s="202">
        <f t="shared" si="8"/>
        <v>0.48</v>
      </c>
      <c r="H146" s="203" t="s">
        <v>126</v>
      </c>
      <c r="I146" s="198" t="s">
        <v>840</v>
      </c>
      <c r="J146" s="205"/>
      <c r="AN146" s="131">
        <v>4</v>
      </c>
    </row>
    <row r="147" spans="1:40" s="131" customFormat="1" x14ac:dyDescent="0.2">
      <c r="A147" s="195" t="s">
        <v>162</v>
      </c>
      <c r="B147" s="222" t="s">
        <v>508</v>
      </c>
      <c r="C147" s="153" t="s">
        <v>284</v>
      </c>
      <c r="D147" s="154" t="s">
        <v>285</v>
      </c>
      <c r="E147" s="154">
        <v>12</v>
      </c>
      <c r="F147" s="155">
        <v>0</v>
      </c>
      <c r="G147" s="155">
        <f t="shared" si="8"/>
        <v>0</v>
      </c>
      <c r="H147" s="156"/>
      <c r="I147" s="198" t="s">
        <v>840</v>
      </c>
      <c r="J147" s="158"/>
      <c r="AN147" s="131">
        <v>4</v>
      </c>
    </row>
    <row r="148" spans="1:40" s="131" customFormat="1" x14ac:dyDescent="0.2">
      <c r="A148" s="195" t="s">
        <v>237</v>
      </c>
      <c r="B148" s="222" t="s">
        <v>188</v>
      </c>
      <c r="C148" s="196" t="s">
        <v>841</v>
      </c>
      <c r="D148" s="197" t="s">
        <v>474</v>
      </c>
      <c r="E148" s="197">
        <v>1</v>
      </c>
      <c r="F148" s="197"/>
      <c r="G148" s="197"/>
      <c r="H148" s="195"/>
      <c r="I148" s="198" t="s">
        <v>842</v>
      </c>
      <c r="J148" s="199"/>
      <c r="AN148" s="131">
        <v>3</v>
      </c>
    </row>
    <row r="149" spans="1:40" s="131" customFormat="1" x14ac:dyDescent="0.2">
      <c r="A149" s="195" t="s">
        <v>213</v>
      </c>
      <c r="B149" s="222" t="s">
        <v>334</v>
      </c>
      <c r="C149" s="200" t="s">
        <v>475</v>
      </c>
      <c r="D149" s="201" t="s">
        <v>282</v>
      </c>
      <c r="E149" s="201">
        <v>1</v>
      </c>
      <c r="F149" s="202">
        <v>0.81</v>
      </c>
      <c r="G149" s="202">
        <f t="shared" ref="G149:G166" si="9">F149*E149</f>
        <v>0.81</v>
      </c>
      <c r="H149" s="203" t="s">
        <v>126</v>
      </c>
      <c r="I149" s="198" t="s">
        <v>842</v>
      </c>
      <c r="J149" s="205"/>
      <c r="AN149" s="131">
        <v>4</v>
      </c>
    </row>
    <row r="150" spans="1:40" s="131" customFormat="1" x14ac:dyDescent="0.2">
      <c r="A150" s="195" t="s">
        <v>213</v>
      </c>
      <c r="B150" s="222" t="s">
        <v>335</v>
      </c>
      <c r="C150" s="200" t="s">
        <v>387</v>
      </c>
      <c r="D150" s="201" t="s">
        <v>283</v>
      </c>
      <c r="E150" s="201">
        <v>2</v>
      </c>
      <c r="F150" s="202">
        <v>0.05</v>
      </c>
      <c r="G150" s="202">
        <f t="shared" si="9"/>
        <v>0.1</v>
      </c>
      <c r="H150" s="203" t="s">
        <v>126</v>
      </c>
      <c r="I150" s="198" t="s">
        <v>842</v>
      </c>
      <c r="J150" s="205"/>
      <c r="AN150" s="131">
        <v>4</v>
      </c>
    </row>
    <row r="151" spans="1:40" s="131" customFormat="1" x14ac:dyDescent="0.2">
      <c r="A151" s="195" t="s">
        <v>213</v>
      </c>
      <c r="B151" s="222" t="s">
        <v>336</v>
      </c>
      <c r="C151" s="200" t="s">
        <v>476</v>
      </c>
      <c r="D151" s="201" t="s">
        <v>477</v>
      </c>
      <c r="E151" s="201">
        <v>2</v>
      </c>
      <c r="F151" s="202">
        <v>0.1</v>
      </c>
      <c r="G151" s="202">
        <f t="shared" si="9"/>
        <v>0.2</v>
      </c>
      <c r="H151" s="203" t="s">
        <v>126</v>
      </c>
      <c r="I151" s="198" t="s">
        <v>842</v>
      </c>
      <c r="J151" s="205"/>
      <c r="AN151" s="131">
        <v>4</v>
      </c>
    </row>
    <row r="152" spans="1:40" s="131" customFormat="1" x14ac:dyDescent="0.2">
      <c r="A152" s="195" t="s">
        <v>213</v>
      </c>
      <c r="B152" s="222" t="s">
        <v>337</v>
      </c>
      <c r="C152" s="200" t="s">
        <v>478</v>
      </c>
      <c r="D152" s="201" t="s">
        <v>479</v>
      </c>
      <c r="E152" s="201">
        <v>1</v>
      </c>
      <c r="F152" s="202">
        <v>0.67</v>
      </c>
      <c r="G152" s="202">
        <f t="shared" si="9"/>
        <v>0.67</v>
      </c>
      <c r="H152" s="203" t="s">
        <v>126</v>
      </c>
      <c r="I152" s="198" t="s">
        <v>842</v>
      </c>
      <c r="J152" s="205"/>
      <c r="AN152" s="131">
        <v>4</v>
      </c>
    </row>
    <row r="153" spans="1:40" s="131" customFormat="1" x14ac:dyDescent="0.2">
      <c r="A153" s="195" t="s">
        <v>213</v>
      </c>
      <c r="B153" s="222" t="s">
        <v>338</v>
      </c>
      <c r="C153" s="200" t="s">
        <v>480</v>
      </c>
      <c r="D153" s="201" t="s">
        <v>481</v>
      </c>
      <c r="E153" s="201">
        <v>2</v>
      </c>
      <c r="F153" s="202">
        <v>0.02</v>
      </c>
      <c r="G153" s="202">
        <f t="shared" si="9"/>
        <v>0.04</v>
      </c>
      <c r="H153" s="203" t="s">
        <v>126</v>
      </c>
      <c r="I153" s="198" t="s">
        <v>842</v>
      </c>
      <c r="J153" s="205"/>
      <c r="AN153" s="131">
        <v>4</v>
      </c>
    </row>
    <row r="154" spans="1:40" s="131" customFormat="1" x14ac:dyDescent="0.2">
      <c r="A154" s="195" t="s">
        <v>213</v>
      </c>
      <c r="B154" s="222" t="s">
        <v>339</v>
      </c>
      <c r="C154" s="200" t="s">
        <v>482</v>
      </c>
      <c r="D154" s="201" t="s">
        <v>483</v>
      </c>
      <c r="E154" s="201">
        <v>1</v>
      </c>
      <c r="F154" s="202">
        <v>3.07</v>
      </c>
      <c r="G154" s="202">
        <f t="shared" si="9"/>
        <v>3.07</v>
      </c>
      <c r="H154" s="203" t="s">
        <v>126</v>
      </c>
      <c r="I154" s="198" t="s">
        <v>842</v>
      </c>
      <c r="J154" s="205"/>
      <c r="AN154" s="131">
        <v>4</v>
      </c>
    </row>
    <row r="155" spans="1:40" s="131" customFormat="1" x14ac:dyDescent="0.2">
      <c r="A155" s="195" t="s">
        <v>213</v>
      </c>
      <c r="B155" s="222" t="s">
        <v>340</v>
      </c>
      <c r="C155" s="200" t="s">
        <v>484</v>
      </c>
      <c r="D155" s="201" t="s">
        <v>483</v>
      </c>
      <c r="E155" s="201">
        <v>1</v>
      </c>
      <c r="F155" s="202">
        <v>3.07</v>
      </c>
      <c r="G155" s="202">
        <f t="shared" si="9"/>
        <v>3.07</v>
      </c>
      <c r="H155" s="203" t="s">
        <v>126</v>
      </c>
      <c r="I155" s="198" t="s">
        <v>842</v>
      </c>
      <c r="J155" s="205"/>
      <c r="AN155" s="131">
        <v>4</v>
      </c>
    </row>
    <row r="156" spans="1:40" s="131" customFormat="1" x14ac:dyDescent="0.2">
      <c r="A156" s="195" t="s">
        <v>213</v>
      </c>
      <c r="B156" s="222" t="s">
        <v>341</v>
      </c>
      <c r="C156" s="200" t="s">
        <v>485</v>
      </c>
      <c r="D156" s="201" t="s">
        <v>486</v>
      </c>
      <c r="E156" s="201">
        <v>1</v>
      </c>
      <c r="F156" s="202">
        <v>0.09</v>
      </c>
      <c r="G156" s="202">
        <f t="shared" si="9"/>
        <v>0.09</v>
      </c>
      <c r="H156" s="203" t="s">
        <v>126</v>
      </c>
      <c r="I156" s="198" t="s">
        <v>842</v>
      </c>
      <c r="J156" s="205"/>
      <c r="AN156" s="131">
        <v>4</v>
      </c>
    </row>
    <row r="157" spans="1:40" s="131" customFormat="1" x14ac:dyDescent="0.2">
      <c r="A157" s="195" t="s">
        <v>213</v>
      </c>
      <c r="B157" s="222" t="s">
        <v>342</v>
      </c>
      <c r="C157" s="200" t="s">
        <v>489</v>
      </c>
      <c r="D157" s="201" t="s">
        <v>490</v>
      </c>
      <c r="E157" s="201">
        <v>4</v>
      </c>
      <c r="F157" s="202">
        <v>0.01</v>
      </c>
      <c r="G157" s="202">
        <f t="shared" si="9"/>
        <v>0.04</v>
      </c>
      <c r="H157" s="203" t="s">
        <v>126</v>
      </c>
      <c r="I157" s="198" t="s">
        <v>842</v>
      </c>
      <c r="J157" s="205"/>
      <c r="AN157" s="131">
        <v>4</v>
      </c>
    </row>
    <row r="158" spans="1:40" s="131" customFormat="1" x14ac:dyDescent="0.2">
      <c r="A158" s="195" t="s">
        <v>213</v>
      </c>
      <c r="B158" s="222" t="s">
        <v>343</v>
      </c>
      <c r="C158" s="200" t="s">
        <v>388</v>
      </c>
      <c r="D158" s="201" t="s">
        <v>389</v>
      </c>
      <c r="E158" s="201">
        <v>1</v>
      </c>
      <c r="F158" s="202">
        <v>0.04</v>
      </c>
      <c r="G158" s="202">
        <f t="shared" si="9"/>
        <v>0.04</v>
      </c>
      <c r="H158" s="203" t="s">
        <v>126</v>
      </c>
      <c r="I158" s="198" t="s">
        <v>842</v>
      </c>
      <c r="J158" s="205"/>
      <c r="AN158" s="131">
        <v>4</v>
      </c>
    </row>
    <row r="159" spans="1:40" s="131" customFormat="1" x14ac:dyDescent="0.2">
      <c r="A159" s="195" t="s">
        <v>213</v>
      </c>
      <c r="B159" s="222" t="s">
        <v>344</v>
      </c>
      <c r="C159" s="200" t="s">
        <v>491</v>
      </c>
      <c r="D159" s="201" t="s">
        <v>492</v>
      </c>
      <c r="E159" s="201">
        <v>1</v>
      </c>
      <c r="F159" s="202">
        <v>0.13</v>
      </c>
      <c r="G159" s="202">
        <f t="shared" si="9"/>
        <v>0.13</v>
      </c>
      <c r="H159" s="203" t="s">
        <v>126</v>
      </c>
      <c r="I159" s="198" t="s">
        <v>842</v>
      </c>
      <c r="J159" s="205"/>
      <c r="AN159" s="131">
        <v>4</v>
      </c>
    </row>
    <row r="160" spans="1:40" s="131" customFormat="1" x14ac:dyDescent="0.2">
      <c r="A160" s="195" t="s">
        <v>213</v>
      </c>
      <c r="B160" s="222" t="s">
        <v>345</v>
      </c>
      <c r="C160" s="200" t="s">
        <v>493</v>
      </c>
      <c r="D160" s="201" t="s">
        <v>494</v>
      </c>
      <c r="E160" s="201">
        <v>1</v>
      </c>
      <c r="F160" s="202">
        <v>0.46</v>
      </c>
      <c r="G160" s="202">
        <f t="shared" si="9"/>
        <v>0.46</v>
      </c>
      <c r="H160" s="203" t="s">
        <v>126</v>
      </c>
      <c r="I160" s="198" t="s">
        <v>842</v>
      </c>
      <c r="J160" s="205"/>
      <c r="AN160" s="131">
        <v>4</v>
      </c>
    </row>
    <row r="161" spans="1:40" s="131" customFormat="1" x14ac:dyDescent="0.2">
      <c r="A161" s="195" t="s">
        <v>213</v>
      </c>
      <c r="B161" s="222" t="s">
        <v>346</v>
      </c>
      <c r="C161" s="200" t="s">
        <v>495</v>
      </c>
      <c r="D161" s="201" t="s">
        <v>496</v>
      </c>
      <c r="E161" s="201">
        <v>2</v>
      </c>
      <c r="F161" s="202">
        <v>0.49</v>
      </c>
      <c r="G161" s="202">
        <f t="shared" si="9"/>
        <v>0.98</v>
      </c>
      <c r="H161" s="203" t="s">
        <v>126</v>
      </c>
      <c r="I161" s="198" t="s">
        <v>842</v>
      </c>
      <c r="J161" s="205"/>
      <c r="AN161" s="131">
        <v>4</v>
      </c>
    </row>
    <row r="162" spans="1:40" s="131" customFormat="1" x14ac:dyDescent="0.2">
      <c r="A162" s="195" t="s">
        <v>213</v>
      </c>
      <c r="B162" s="222" t="s">
        <v>347</v>
      </c>
      <c r="C162" s="200" t="s">
        <v>497</v>
      </c>
      <c r="D162" s="201" t="s">
        <v>498</v>
      </c>
      <c r="E162" s="201">
        <v>2</v>
      </c>
      <c r="F162" s="202">
        <v>0.45</v>
      </c>
      <c r="G162" s="202">
        <f t="shared" si="9"/>
        <v>0.9</v>
      </c>
      <c r="H162" s="203" t="s">
        <v>126</v>
      </c>
      <c r="I162" s="198" t="s">
        <v>842</v>
      </c>
      <c r="J162" s="205"/>
      <c r="AN162" s="131">
        <v>4</v>
      </c>
    </row>
    <row r="163" spans="1:40" s="131" customFormat="1" x14ac:dyDescent="0.2">
      <c r="A163" s="195" t="s">
        <v>213</v>
      </c>
      <c r="B163" s="222" t="s">
        <v>348</v>
      </c>
      <c r="C163" s="200" t="s">
        <v>500</v>
      </c>
      <c r="D163" s="201" t="s">
        <v>501</v>
      </c>
      <c r="E163" s="201">
        <v>2</v>
      </c>
      <c r="F163" s="202">
        <v>7.0000000000000007E-2</v>
      </c>
      <c r="G163" s="202">
        <f t="shared" si="9"/>
        <v>0.14000000000000001</v>
      </c>
      <c r="H163" s="203" t="s">
        <v>126</v>
      </c>
      <c r="I163" s="198" t="s">
        <v>842</v>
      </c>
      <c r="J163" s="205"/>
      <c r="AN163" s="131">
        <v>4</v>
      </c>
    </row>
    <row r="164" spans="1:40" s="131" customFormat="1" x14ac:dyDescent="0.2">
      <c r="A164" s="195" t="s">
        <v>213</v>
      </c>
      <c r="B164" s="222" t="s">
        <v>499</v>
      </c>
      <c r="C164" s="200" t="s">
        <v>506</v>
      </c>
      <c r="D164" s="201" t="s">
        <v>507</v>
      </c>
      <c r="E164" s="201">
        <v>1</v>
      </c>
      <c r="F164" s="202">
        <v>0.39</v>
      </c>
      <c r="G164" s="202">
        <f t="shared" si="9"/>
        <v>0.39</v>
      </c>
      <c r="H164" s="203" t="s">
        <v>126</v>
      </c>
      <c r="I164" s="198" t="s">
        <v>842</v>
      </c>
      <c r="J164" s="205"/>
      <c r="AN164" s="131">
        <v>4</v>
      </c>
    </row>
    <row r="165" spans="1:40" s="131" customFormat="1" x14ac:dyDescent="0.2">
      <c r="A165" s="195" t="s">
        <v>213</v>
      </c>
      <c r="B165" s="222" t="s">
        <v>502</v>
      </c>
      <c r="C165" s="200" t="s">
        <v>509</v>
      </c>
      <c r="D165" s="201" t="s">
        <v>510</v>
      </c>
      <c r="E165" s="201">
        <v>2</v>
      </c>
      <c r="F165" s="202">
        <v>0.02</v>
      </c>
      <c r="G165" s="202">
        <f t="shared" si="9"/>
        <v>0.04</v>
      </c>
      <c r="H165" s="203" t="s">
        <v>126</v>
      </c>
      <c r="I165" s="198" t="s">
        <v>842</v>
      </c>
      <c r="J165" s="205"/>
      <c r="AN165" s="131">
        <v>4</v>
      </c>
    </row>
    <row r="166" spans="1:40" s="131" customFormat="1" x14ac:dyDescent="0.2">
      <c r="A166" s="195" t="s">
        <v>162</v>
      </c>
      <c r="B166" s="222" t="s">
        <v>505</v>
      </c>
      <c r="C166" s="153" t="s">
        <v>284</v>
      </c>
      <c r="D166" s="154" t="s">
        <v>285</v>
      </c>
      <c r="E166" s="154">
        <v>12</v>
      </c>
      <c r="F166" s="155">
        <v>0</v>
      </c>
      <c r="G166" s="155">
        <f t="shared" si="9"/>
        <v>0</v>
      </c>
      <c r="H166" s="156"/>
      <c r="I166" s="198" t="s">
        <v>842</v>
      </c>
      <c r="J166" s="158"/>
      <c r="AN166" s="131">
        <v>4</v>
      </c>
    </row>
    <row r="167" spans="1:40" s="131" customFormat="1" x14ac:dyDescent="0.2">
      <c r="A167" s="195" t="s">
        <v>237</v>
      </c>
      <c r="B167" s="222" t="s">
        <v>188</v>
      </c>
      <c r="C167" s="196" t="s">
        <v>843</v>
      </c>
      <c r="D167" s="197" t="s">
        <v>474</v>
      </c>
      <c r="E167" s="197">
        <v>1</v>
      </c>
      <c r="F167" s="197"/>
      <c r="G167" s="197"/>
      <c r="H167" s="195"/>
      <c r="I167" s="198" t="s">
        <v>989</v>
      </c>
      <c r="J167" s="199"/>
      <c r="AN167" s="131">
        <v>3</v>
      </c>
    </row>
    <row r="168" spans="1:40" s="131" customFormat="1" x14ac:dyDescent="0.2">
      <c r="A168" s="195" t="s">
        <v>213</v>
      </c>
      <c r="B168" s="222" t="s">
        <v>334</v>
      </c>
      <c r="C168" s="200" t="s">
        <v>475</v>
      </c>
      <c r="D168" s="201" t="s">
        <v>282</v>
      </c>
      <c r="E168" s="201">
        <v>1</v>
      </c>
      <c r="F168" s="202">
        <v>0.81</v>
      </c>
      <c r="G168" s="202">
        <f t="shared" ref="G168:G184" si="10">F168*E168</f>
        <v>0.81</v>
      </c>
      <c r="H168" s="203" t="s">
        <v>126</v>
      </c>
      <c r="I168" s="198" t="s">
        <v>989</v>
      </c>
      <c r="J168" s="205"/>
      <c r="AN168" s="131">
        <v>4</v>
      </c>
    </row>
    <row r="169" spans="1:40" s="131" customFormat="1" x14ac:dyDescent="0.2">
      <c r="A169" s="195" t="s">
        <v>213</v>
      </c>
      <c r="B169" s="222" t="s">
        <v>335</v>
      </c>
      <c r="C169" s="200" t="s">
        <v>387</v>
      </c>
      <c r="D169" s="201" t="s">
        <v>283</v>
      </c>
      <c r="E169" s="201">
        <v>2</v>
      </c>
      <c r="F169" s="202">
        <v>0.05</v>
      </c>
      <c r="G169" s="202">
        <f t="shared" si="10"/>
        <v>0.1</v>
      </c>
      <c r="H169" s="203" t="s">
        <v>126</v>
      </c>
      <c r="I169" s="198" t="s">
        <v>989</v>
      </c>
      <c r="J169" s="205"/>
      <c r="AN169" s="131">
        <v>4</v>
      </c>
    </row>
    <row r="170" spans="1:40" s="131" customFormat="1" x14ac:dyDescent="0.2">
      <c r="A170" s="195" t="s">
        <v>213</v>
      </c>
      <c r="B170" s="222" t="s">
        <v>336</v>
      </c>
      <c r="C170" s="200" t="s">
        <v>476</v>
      </c>
      <c r="D170" s="201" t="s">
        <v>477</v>
      </c>
      <c r="E170" s="201">
        <v>2</v>
      </c>
      <c r="F170" s="202">
        <v>0.1</v>
      </c>
      <c r="G170" s="202">
        <f t="shared" si="10"/>
        <v>0.2</v>
      </c>
      <c r="H170" s="203" t="s">
        <v>126</v>
      </c>
      <c r="I170" s="198" t="s">
        <v>989</v>
      </c>
      <c r="J170" s="205"/>
      <c r="AN170" s="131">
        <v>4</v>
      </c>
    </row>
    <row r="171" spans="1:40" s="131" customFormat="1" x14ac:dyDescent="0.2">
      <c r="A171" s="195" t="s">
        <v>213</v>
      </c>
      <c r="B171" s="222" t="s">
        <v>337</v>
      </c>
      <c r="C171" s="200" t="s">
        <v>478</v>
      </c>
      <c r="D171" s="201" t="s">
        <v>479</v>
      </c>
      <c r="E171" s="201">
        <v>1</v>
      </c>
      <c r="F171" s="202">
        <v>0.67</v>
      </c>
      <c r="G171" s="202">
        <f t="shared" si="10"/>
        <v>0.67</v>
      </c>
      <c r="H171" s="203" t="s">
        <v>126</v>
      </c>
      <c r="I171" s="198" t="s">
        <v>989</v>
      </c>
      <c r="J171" s="205"/>
      <c r="AN171" s="131">
        <v>4</v>
      </c>
    </row>
    <row r="172" spans="1:40" s="131" customFormat="1" x14ac:dyDescent="0.2">
      <c r="A172" s="195" t="s">
        <v>213</v>
      </c>
      <c r="B172" s="222" t="s">
        <v>338</v>
      </c>
      <c r="C172" s="200" t="s">
        <v>480</v>
      </c>
      <c r="D172" s="201" t="s">
        <v>481</v>
      </c>
      <c r="E172" s="201">
        <v>2</v>
      </c>
      <c r="F172" s="202">
        <v>0.02</v>
      </c>
      <c r="G172" s="202">
        <f t="shared" si="10"/>
        <v>0.04</v>
      </c>
      <c r="H172" s="203" t="s">
        <v>126</v>
      </c>
      <c r="I172" s="198" t="s">
        <v>989</v>
      </c>
      <c r="J172" s="205"/>
      <c r="AN172" s="131">
        <v>4</v>
      </c>
    </row>
    <row r="173" spans="1:40" s="131" customFormat="1" x14ac:dyDescent="0.2">
      <c r="A173" s="195" t="s">
        <v>213</v>
      </c>
      <c r="B173" s="222" t="s">
        <v>339</v>
      </c>
      <c r="C173" s="200" t="s">
        <v>482</v>
      </c>
      <c r="D173" s="201" t="s">
        <v>483</v>
      </c>
      <c r="E173" s="201">
        <v>1</v>
      </c>
      <c r="F173" s="202">
        <v>3.07</v>
      </c>
      <c r="G173" s="202">
        <f t="shared" si="10"/>
        <v>3.07</v>
      </c>
      <c r="H173" s="203" t="s">
        <v>126</v>
      </c>
      <c r="I173" s="198" t="s">
        <v>989</v>
      </c>
      <c r="J173" s="205"/>
      <c r="AN173" s="131">
        <v>4</v>
      </c>
    </row>
    <row r="174" spans="1:40" s="131" customFormat="1" x14ac:dyDescent="0.2">
      <c r="A174" s="195" t="s">
        <v>213</v>
      </c>
      <c r="B174" s="222" t="s">
        <v>340</v>
      </c>
      <c r="C174" s="200" t="s">
        <v>484</v>
      </c>
      <c r="D174" s="201" t="s">
        <v>483</v>
      </c>
      <c r="E174" s="201">
        <v>1</v>
      </c>
      <c r="F174" s="202">
        <v>3.07</v>
      </c>
      <c r="G174" s="202">
        <f t="shared" si="10"/>
        <v>3.07</v>
      </c>
      <c r="H174" s="203" t="s">
        <v>126</v>
      </c>
      <c r="I174" s="198" t="s">
        <v>989</v>
      </c>
      <c r="J174" s="205"/>
      <c r="AN174" s="131">
        <v>4</v>
      </c>
    </row>
    <row r="175" spans="1:40" s="131" customFormat="1" x14ac:dyDescent="0.2">
      <c r="A175" s="195" t="s">
        <v>213</v>
      </c>
      <c r="B175" s="222" t="s">
        <v>341</v>
      </c>
      <c r="C175" s="200" t="s">
        <v>485</v>
      </c>
      <c r="D175" s="201" t="s">
        <v>486</v>
      </c>
      <c r="E175" s="201">
        <v>1</v>
      </c>
      <c r="F175" s="202">
        <v>0.09</v>
      </c>
      <c r="G175" s="202">
        <f t="shared" si="10"/>
        <v>0.09</v>
      </c>
      <c r="H175" s="203" t="s">
        <v>126</v>
      </c>
      <c r="I175" s="198" t="s">
        <v>989</v>
      </c>
      <c r="J175" s="205"/>
      <c r="AN175" s="131">
        <v>4</v>
      </c>
    </row>
    <row r="176" spans="1:40" s="131" customFormat="1" x14ac:dyDescent="0.2">
      <c r="A176" s="195" t="s">
        <v>213</v>
      </c>
      <c r="B176" s="222" t="s">
        <v>342</v>
      </c>
      <c r="C176" s="200" t="s">
        <v>489</v>
      </c>
      <c r="D176" s="201" t="s">
        <v>490</v>
      </c>
      <c r="E176" s="201">
        <v>4</v>
      </c>
      <c r="F176" s="202">
        <v>0.01</v>
      </c>
      <c r="G176" s="202">
        <f t="shared" si="10"/>
        <v>0.04</v>
      </c>
      <c r="H176" s="203" t="s">
        <v>126</v>
      </c>
      <c r="I176" s="198" t="s">
        <v>989</v>
      </c>
      <c r="J176" s="205"/>
      <c r="AN176" s="131">
        <v>4</v>
      </c>
    </row>
    <row r="177" spans="1:40" s="131" customFormat="1" x14ac:dyDescent="0.2">
      <c r="A177" s="195" t="s">
        <v>213</v>
      </c>
      <c r="B177" s="222" t="s">
        <v>343</v>
      </c>
      <c r="C177" s="200" t="s">
        <v>388</v>
      </c>
      <c r="D177" s="201" t="s">
        <v>389</v>
      </c>
      <c r="E177" s="201">
        <v>1</v>
      </c>
      <c r="F177" s="202">
        <v>0.04</v>
      </c>
      <c r="G177" s="202">
        <f t="shared" si="10"/>
        <v>0.04</v>
      </c>
      <c r="H177" s="203" t="s">
        <v>126</v>
      </c>
      <c r="I177" s="198" t="s">
        <v>989</v>
      </c>
      <c r="J177" s="205"/>
      <c r="AN177" s="131">
        <v>4</v>
      </c>
    </row>
    <row r="178" spans="1:40" s="131" customFormat="1" x14ac:dyDescent="0.2">
      <c r="A178" s="195" t="s">
        <v>213</v>
      </c>
      <c r="B178" s="222" t="s">
        <v>344</v>
      </c>
      <c r="C178" s="200" t="s">
        <v>491</v>
      </c>
      <c r="D178" s="201" t="s">
        <v>492</v>
      </c>
      <c r="E178" s="201">
        <v>1</v>
      </c>
      <c r="F178" s="202">
        <v>0.13</v>
      </c>
      <c r="G178" s="202">
        <f t="shared" si="10"/>
        <v>0.13</v>
      </c>
      <c r="H178" s="203" t="s">
        <v>126</v>
      </c>
      <c r="I178" s="198" t="s">
        <v>989</v>
      </c>
      <c r="J178" s="205"/>
      <c r="AN178" s="131">
        <v>4</v>
      </c>
    </row>
    <row r="179" spans="1:40" s="131" customFormat="1" x14ac:dyDescent="0.2">
      <c r="A179" s="195" t="s">
        <v>213</v>
      </c>
      <c r="B179" s="222" t="s">
        <v>345</v>
      </c>
      <c r="C179" s="200" t="s">
        <v>493</v>
      </c>
      <c r="D179" s="201" t="s">
        <v>494</v>
      </c>
      <c r="E179" s="201">
        <v>1</v>
      </c>
      <c r="F179" s="202">
        <v>0.46</v>
      </c>
      <c r="G179" s="202">
        <f t="shared" si="10"/>
        <v>0.46</v>
      </c>
      <c r="H179" s="203" t="s">
        <v>126</v>
      </c>
      <c r="I179" s="198" t="s">
        <v>989</v>
      </c>
      <c r="J179" s="205"/>
      <c r="AN179" s="131">
        <v>4</v>
      </c>
    </row>
    <row r="180" spans="1:40" s="131" customFormat="1" x14ac:dyDescent="0.2">
      <c r="A180" s="195" t="s">
        <v>213</v>
      </c>
      <c r="B180" s="222" t="s">
        <v>346</v>
      </c>
      <c r="C180" s="200" t="s">
        <v>500</v>
      </c>
      <c r="D180" s="201" t="s">
        <v>501</v>
      </c>
      <c r="E180" s="201">
        <v>2</v>
      </c>
      <c r="F180" s="202">
        <v>7.0000000000000007E-2</v>
      </c>
      <c r="G180" s="202">
        <f t="shared" si="10"/>
        <v>0.14000000000000001</v>
      </c>
      <c r="H180" s="203" t="s">
        <v>126</v>
      </c>
      <c r="I180" s="198" t="s">
        <v>989</v>
      </c>
      <c r="J180" s="205"/>
      <c r="AN180" s="131">
        <v>4</v>
      </c>
    </row>
    <row r="181" spans="1:40" s="131" customFormat="1" x14ac:dyDescent="0.2">
      <c r="A181" s="195" t="s">
        <v>213</v>
      </c>
      <c r="B181" s="222" t="s">
        <v>347</v>
      </c>
      <c r="C181" s="200" t="s">
        <v>506</v>
      </c>
      <c r="D181" s="201" t="s">
        <v>507</v>
      </c>
      <c r="E181" s="201">
        <v>1</v>
      </c>
      <c r="F181" s="202">
        <v>0.39</v>
      </c>
      <c r="G181" s="202">
        <f t="shared" si="10"/>
        <v>0.39</v>
      </c>
      <c r="H181" s="203" t="s">
        <v>126</v>
      </c>
      <c r="I181" s="198" t="s">
        <v>989</v>
      </c>
      <c r="J181" s="205"/>
      <c r="AN181" s="131">
        <v>4</v>
      </c>
    </row>
    <row r="182" spans="1:40" s="131" customFormat="1" x14ac:dyDescent="0.2">
      <c r="A182" s="195" t="s">
        <v>213</v>
      </c>
      <c r="B182" s="222" t="s">
        <v>348</v>
      </c>
      <c r="C182" s="200" t="s">
        <v>509</v>
      </c>
      <c r="D182" s="201" t="s">
        <v>510</v>
      </c>
      <c r="E182" s="201">
        <v>2</v>
      </c>
      <c r="F182" s="202">
        <v>0.02</v>
      </c>
      <c r="G182" s="202">
        <f t="shared" si="10"/>
        <v>0.04</v>
      </c>
      <c r="H182" s="203" t="s">
        <v>126</v>
      </c>
      <c r="I182" s="198" t="s">
        <v>989</v>
      </c>
      <c r="J182" s="205"/>
      <c r="AN182" s="131">
        <v>4</v>
      </c>
    </row>
    <row r="183" spans="1:40" s="131" customFormat="1" x14ac:dyDescent="0.2">
      <c r="A183" s="195" t="s">
        <v>213</v>
      </c>
      <c r="B183" s="222" t="s">
        <v>499</v>
      </c>
      <c r="C183" s="200" t="s">
        <v>838</v>
      </c>
      <c r="D183" s="201" t="s">
        <v>839</v>
      </c>
      <c r="E183" s="201">
        <v>2</v>
      </c>
      <c r="F183" s="202">
        <v>0.24</v>
      </c>
      <c r="G183" s="202">
        <f t="shared" si="10"/>
        <v>0.48</v>
      </c>
      <c r="H183" s="203" t="s">
        <v>126</v>
      </c>
      <c r="I183" s="198" t="s">
        <v>989</v>
      </c>
      <c r="J183" s="205"/>
      <c r="AN183" s="131">
        <v>4</v>
      </c>
    </row>
    <row r="184" spans="1:40" s="131" customFormat="1" x14ac:dyDescent="0.2">
      <c r="A184" s="195" t="s">
        <v>162</v>
      </c>
      <c r="B184" s="222" t="s">
        <v>502</v>
      </c>
      <c r="C184" s="153" t="s">
        <v>284</v>
      </c>
      <c r="D184" s="154" t="s">
        <v>285</v>
      </c>
      <c r="E184" s="154">
        <v>12</v>
      </c>
      <c r="F184" s="155">
        <v>0</v>
      </c>
      <c r="G184" s="155">
        <f t="shared" si="10"/>
        <v>0</v>
      </c>
      <c r="H184" s="156"/>
      <c r="I184" s="198" t="s">
        <v>989</v>
      </c>
      <c r="J184" s="158"/>
      <c r="AN184" s="131">
        <v>4</v>
      </c>
    </row>
    <row r="185" spans="1:40" s="131" customFormat="1" outlineLevel="1" x14ac:dyDescent="0.2">
      <c r="A185" s="195" t="s">
        <v>237</v>
      </c>
      <c r="B185" s="218" t="s">
        <v>189</v>
      </c>
      <c r="C185" s="196" t="s">
        <v>512</v>
      </c>
      <c r="D185" s="197" t="s">
        <v>513</v>
      </c>
      <c r="E185" s="197">
        <f>1*1</f>
        <v>1</v>
      </c>
      <c r="F185" s="207"/>
      <c r="G185" s="207" t="str">
        <f>""</f>
        <v/>
      </c>
      <c r="H185" s="195"/>
      <c r="I185" s="198"/>
      <c r="J185" s="199"/>
      <c r="AN185" s="131">
        <v>3</v>
      </c>
    </row>
    <row r="186" spans="1:40" s="131" customFormat="1" ht="25.5" outlineLevel="2" x14ac:dyDescent="0.2">
      <c r="A186" s="195" t="s">
        <v>162</v>
      </c>
      <c r="B186" s="218" t="s">
        <v>358</v>
      </c>
      <c r="C186" s="153" t="s">
        <v>514</v>
      </c>
      <c r="D186" s="154" t="s">
        <v>515</v>
      </c>
      <c r="E186" s="154">
        <f>1*1</f>
        <v>1</v>
      </c>
      <c r="F186" s="155">
        <v>5.05</v>
      </c>
      <c r="G186" s="155">
        <f>F186*E186</f>
        <v>5.05</v>
      </c>
      <c r="H186" s="156" t="s">
        <v>366</v>
      </c>
      <c r="I186" s="157"/>
      <c r="J186" s="158" t="s">
        <v>362</v>
      </c>
      <c r="AN186" s="131">
        <v>4</v>
      </c>
    </row>
    <row r="187" spans="1:40" s="131" customFormat="1" ht="25.5" outlineLevel="2" x14ac:dyDescent="0.2">
      <c r="A187" s="195" t="s">
        <v>162</v>
      </c>
      <c r="B187" s="218" t="s">
        <v>359</v>
      </c>
      <c r="C187" s="153"/>
      <c r="D187" s="154" t="s">
        <v>516</v>
      </c>
      <c r="E187" s="154">
        <f>1*1</f>
        <v>1</v>
      </c>
      <c r="F187" s="155">
        <v>0.5</v>
      </c>
      <c r="G187" s="155">
        <f>F187*E187</f>
        <v>0.5</v>
      </c>
      <c r="H187" s="156"/>
      <c r="I187" s="157"/>
      <c r="J187" s="158" t="s">
        <v>362</v>
      </c>
      <c r="AN187" s="131">
        <v>4</v>
      </c>
    </row>
    <row r="188" spans="1:40" s="131" customFormat="1" ht="25.5" outlineLevel="2" x14ac:dyDescent="0.2">
      <c r="A188" s="195" t="s">
        <v>162</v>
      </c>
      <c r="B188" s="218" t="s">
        <v>361</v>
      </c>
      <c r="C188" s="153" t="s">
        <v>517</v>
      </c>
      <c r="D188" s="154" t="s">
        <v>360</v>
      </c>
      <c r="E188" s="154">
        <f>9*1</f>
        <v>9</v>
      </c>
      <c r="F188" s="155">
        <v>0</v>
      </c>
      <c r="G188" s="155">
        <f>F188*E188</f>
        <v>0</v>
      </c>
      <c r="H188" s="156" t="s">
        <v>126</v>
      </c>
      <c r="I188" s="157"/>
      <c r="J188" s="158"/>
      <c r="AN188" s="131">
        <v>4</v>
      </c>
    </row>
    <row r="189" spans="1:40" s="131" customFormat="1" x14ac:dyDescent="0.2">
      <c r="A189" s="195" t="s">
        <v>237</v>
      </c>
      <c r="B189" s="222" t="s">
        <v>189</v>
      </c>
      <c r="C189" s="196" t="s">
        <v>849</v>
      </c>
      <c r="D189" s="197" t="s">
        <v>513</v>
      </c>
      <c r="E189" s="197">
        <v>1</v>
      </c>
      <c r="F189" s="197"/>
      <c r="G189" s="197"/>
      <c r="H189" s="195"/>
      <c r="I189" s="198" t="s">
        <v>846</v>
      </c>
      <c r="J189" s="199"/>
      <c r="AN189" s="131">
        <v>3</v>
      </c>
    </row>
    <row r="190" spans="1:40" s="131" customFormat="1" ht="25.5" x14ac:dyDescent="0.2">
      <c r="A190" s="195" t="s">
        <v>213</v>
      </c>
      <c r="B190" s="222" t="s">
        <v>358</v>
      </c>
      <c r="C190" s="153" t="s">
        <v>850</v>
      </c>
      <c r="D190" s="154" t="s">
        <v>515</v>
      </c>
      <c r="E190" s="154">
        <v>1</v>
      </c>
      <c r="F190" s="155">
        <v>5.05</v>
      </c>
      <c r="G190" s="155">
        <f>F190*E190</f>
        <v>5.05</v>
      </c>
      <c r="H190" s="156" t="s">
        <v>366</v>
      </c>
      <c r="I190" s="198" t="s">
        <v>846</v>
      </c>
      <c r="J190" s="158" t="s">
        <v>362</v>
      </c>
      <c r="AN190" s="131">
        <v>4</v>
      </c>
    </row>
    <row r="191" spans="1:40" s="131" customFormat="1" ht="25.5" x14ac:dyDescent="0.2">
      <c r="A191" s="195" t="s">
        <v>213</v>
      </c>
      <c r="B191" s="222" t="s">
        <v>359</v>
      </c>
      <c r="C191" s="153"/>
      <c r="D191" s="154" t="s">
        <v>516</v>
      </c>
      <c r="E191" s="154">
        <v>1</v>
      </c>
      <c r="F191" s="155">
        <v>0.5</v>
      </c>
      <c r="G191" s="155">
        <f>F191*E191</f>
        <v>0.5</v>
      </c>
      <c r="H191" s="156"/>
      <c r="I191" s="198" t="s">
        <v>846</v>
      </c>
      <c r="J191" s="158" t="s">
        <v>362</v>
      </c>
      <c r="AN191" s="131">
        <v>4</v>
      </c>
    </row>
    <row r="192" spans="1:40" s="131" customFormat="1" ht="25.5" x14ac:dyDescent="0.2">
      <c r="A192" s="195" t="s">
        <v>213</v>
      </c>
      <c r="B192" s="222" t="s">
        <v>361</v>
      </c>
      <c r="C192" s="153" t="s">
        <v>517</v>
      </c>
      <c r="D192" s="154" t="s">
        <v>360</v>
      </c>
      <c r="E192" s="154">
        <v>9</v>
      </c>
      <c r="F192" s="155">
        <v>0</v>
      </c>
      <c r="G192" s="155">
        <f>F192*E192</f>
        <v>0</v>
      </c>
      <c r="H192" s="156"/>
      <c r="I192" s="198" t="s">
        <v>846</v>
      </c>
      <c r="J192" s="158"/>
      <c r="AN192" s="131">
        <v>4</v>
      </c>
    </row>
    <row r="193" spans="1:40" s="131" customFormat="1" outlineLevel="1" x14ac:dyDescent="0.2">
      <c r="A193" s="195" t="s">
        <v>237</v>
      </c>
      <c r="B193" s="218" t="s">
        <v>190</v>
      </c>
      <c r="C193" s="196" t="s">
        <v>518</v>
      </c>
      <c r="D193" s="197" t="s">
        <v>519</v>
      </c>
      <c r="E193" s="197">
        <f>1*1</f>
        <v>1</v>
      </c>
      <c r="F193" s="207"/>
      <c r="G193" s="207" t="str">
        <f>""</f>
        <v/>
      </c>
      <c r="H193" s="195"/>
      <c r="I193" s="198"/>
      <c r="J193" s="199"/>
      <c r="AN193" s="131">
        <v>3</v>
      </c>
    </row>
    <row r="194" spans="1:40" s="131" customFormat="1" ht="25.5" outlineLevel="2" x14ac:dyDescent="0.2">
      <c r="A194" s="195" t="s">
        <v>162</v>
      </c>
      <c r="B194" s="218" t="s">
        <v>363</v>
      </c>
      <c r="C194" s="153" t="s">
        <v>520</v>
      </c>
      <c r="D194" s="154" t="s">
        <v>521</v>
      </c>
      <c r="E194" s="154">
        <f>1*1</f>
        <v>1</v>
      </c>
      <c r="F194" s="155">
        <v>2.0699999999999998</v>
      </c>
      <c r="G194" s="155">
        <f>F194*E194</f>
        <v>2.0699999999999998</v>
      </c>
      <c r="H194" s="156" t="s">
        <v>366</v>
      </c>
      <c r="I194" s="157"/>
      <c r="J194" s="158" t="s">
        <v>362</v>
      </c>
      <c r="AN194" s="131">
        <v>4</v>
      </c>
    </row>
    <row r="195" spans="1:40" s="131" customFormat="1" ht="25.5" outlineLevel="2" x14ac:dyDescent="0.2">
      <c r="A195" s="195" t="s">
        <v>162</v>
      </c>
      <c r="B195" s="218" t="s">
        <v>364</v>
      </c>
      <c r="C195" s="153"/>
      <c r="D195" s="154" t="s">
        <v>522</v>
      </c>
      <c r="E195" s="154">
        <f>1*1</f>
        <v>1</v>
      </c>
      <c r="F195" s="155">
        <v>0.3</v>
      </c>
      <c r="G195" s="155">
        <f>F195*E195</f>
        <v>0.3</v>
      </c>
      <c r="H195" s="156"/>
      <c r="I195" s="157"/>
      <c r="J195" s="158" t="s">
        <v>362</v>
      </c>
      <c r="AN195" s="131">
        <v>4</v>
      </c>
    </row>
    <row r="196" spans="1:40" s="131" customFormat="1" ht="25.5" outlineLevel="2" x14ac:dyDescent="0.2">
      <c r="A196" s="195" t="s">
        <v>162</v>
      </c>
      <c r="B196" s="218" t="s">
        <v>365</v>
      </c>
      <c r="C196" s="153" t="s">
        <v>523</v>
      </c>
      <c r="D196" s="154" t="s">
        <v>360</v>
      </c>
      <c r="E196" s="154">
        <f>19*1</f>
        <v>19</v>
      </c>
      <c r="F196" s="155">
        <v>0</v>
      </c>
      <c r="G196" s="155">
        <f>F196*E196</f>
        <v>0</v>
      </c>
      <c r="H196" s="156" t="s">
        <v>126</v>
      </c>
      <c r="I196" s="157"/>
      <c r="J196" s="158"/>
      <c r="AN196" s="131">
        <v>4</v>
      </c>
    </row>
    <row r="197" spans="1:40" s="131" customFormat="1" outlineLevel="1" x14ac:dyDescent="0.2">
      <c r="A197" s="195" t="s">
        <v>237</v>
      </c>
      <c r="B197" s="218" t="s">
        <v>191</v>
      </c>
      <c r="C197" s="196" t="s">
        <v>524</v>
      </c>
      <c r="D197" s="197" t="s">
        <v>525</v>
      </c>
      <c r="E197" s="197">
        <f>1*1</f>
        <v>1</v>
      </c>
      <c r="F197" s="207"/>
      <c r="G197" s="207" t="str">
        <f>""</f>
        <v/>
      </c>
      <c r="H197" s="195"/>
      <c r="I197" s="198"/>
      <c r="J197" s="199"/>
      <c r="AN197" s="131">
        <v>3</v>
      </c>
    </row>
    <row r="198" spans="1:40" s="131" customFormat="1" ht="25.5" outlineLevel="2" x14ac:dyDescent="0.2">
      <c r="A198" s="195" t="s">
        <v>162</v>
      </c>
      <c r="B198" s="218" t="s">
        <v>349</v>
      </c>
      <c r="C198" s="153" t="s">
        <v>526</v>
      </c>
      <c r="D198" s="154" t="s">
        <v>527</v>
      </c>
      <c r="E198" s="154">
        <f>1*1</f>
        <v>1</v>
      </c>
      <c r="F198" s="155">
        <v>1.35</v>
      </c>
      <c r="G198" s="155">
        <f>F198*E198</f>
        <v>1.35</v>
      </c>
      <c r="H198" s="156" t="s">
        <v>366</v>
      </c>
      <c r="I198" s="157"/>
      <c r="J198" s="158" t="s">
        <v>362</v>
      </c>
      <c r="AN198" s="131">
        <v>4</v>
      </c>
    </row>
    <row r="199" spans="1:40" s="131" customFormat="1" ht="25.5" outlineLevel="2" x14ac:dyDescent="0.2">
      <c r="A199" s="195" t="s">
        <v>162</v>
      </c>
      <c r="B199" s="218" t="s">
        <v>350</v>
      </c>
      <c r="C199" s="153"/>
      <c r="D199" s="154" t="s">
        <v>528</v>
      </c>
      <c r="E199" s="154">
        <f>1*1</f>
        <v>1</v>
      </c>
      <c r="F199" s="155">
        <v>0.2</v>
      </c>
      <c r="G199" s="155">
        <f>F199*E199</f>
        <v>0.2</v>
      </c>
      <c r="H199" s="156"/>
      <c r="I199" s="157"/>
      <c r="J199" s="158" t="s">
        <v>362</v>
      </c>
      <c r="AN199" s="131">
        <v>4</v>
      </c>
    </row>
    <row r="200" spans="1:40" s="131" customFormat="1" ht="25.5" outlineLevel="2" x14ac:dyDescent="0.2">
      <c r="A200" s="195" t="s">
        <v>162</v>
      </c>
      <c r="B200" s="218" t="s">
        <v>351</v>
      </c>
      <c r="C200" s="153" t="s">
        <v>523</v>
      </c>
      <c r="D200" s="154" t="s">
        <v>360</v>
      </c>
      <c r="E200" s="154">
        <f>7*1</f>
        <v>7</v>
      </c>
      <c r="F200" s="155">
        <v>0</v>
      </c>
      <c r="G200" s="155">
        <f>F200*E200</f>
        <v>0</v>
      </c>
      <c r="H200" s="156"/>
      <c r="I200" s="157"/>
      <c r="J200" s="158"/>
      <c r="AN200" s="131">
        <v>4</v>
      </c>
    </row>
    <row r="201" spans="1:40" s="131" customFormat="1" outlineLevel="1" x14ac:dyDescent="0.2">
      <c r="A201" s="195" t="s">
        <v>237</v>
      </c>
      <c r="B201" s="218" t="s">
        <v>192</v>
      </c>
      <c r="C201" s="196" t="s">
        <v>529</v>
      </c>
      <c r="D201" s="197" t="s">
        <v>530</v>
      </c>
      <c r="E201" s="197">
        <f>1*1</f>
        <v>1</v>
      </c>
      <c r="F201" s="207"/>
      <c r="G201" s="207" t="str">
        <f>""</f>
        <v/>
      </c>
      <c r="H201" s="195"/>
      <c r="I201" s="198"/>
      <c r="J201" s="199"/>
      <c r="AN201" s="131">
        <v>3</v>
      </c>
    </row>
    <row r="202" spans="1:40" s="131" customFormat="1" ht="25.5" outlineLevel="2" x14ac:dyDescent="0.2">
      <c r="A202" s="195" t="s">
        <v>162</v>
      </c>
      <c r="B202" s="218" t="s">
        <v>352</v>
      </c>
      <c r="C202" s="153" t="s">
        <v>531</v>
      </c>
      <c r="D202" s="154" t="s">
        <v>532</v>
      </c>
      <c r="E202" s="154">
        <f>1*1</f>
        <v>1</v>
      </c>
      <c r="F202" s="155">
        <v>0.28000000000000003</v>
      </c>
      <c r="G202" s="155">
        <f>F202*E202</f>
        <v>0.28000000000000003</v>
      </c>
      <c r="H202" s="156" t="s">
        <v>366</v>
      </c>
      <c r="I202" s="157"/>
      <c r="J202" s="158" t="s">
        <v>362</v>
      </c>
      <c r="AN202" s="131">
        <v>4</v>
      </c>
    </row>
    <row r="203" spans="1:40" s="131" customFormat="1" ht="25.5" outlineLevel="2" x14ac:dyDescent="0.2">
      <c r="A203" s="195" t="s">
        <v>162</v>
      </c>
      <c r="B203" s="218" t="s">
        <v>353</v>
      </c>
      <c r="C203" s="153"/>
      <c r="D203" s="154" t="s">
        <v>533</v>
      </c>
      <c r="E203" s="154">
        <f>1*1</f>
        <v>1</v>
      </c>
      <c r="F203" s="155">
        <v>8.67</v>
      </c>
      <c r="G203" s="155">
        <f>F203*E203</f>
        <v>8.67</v>
      </c>
      <c r="H203" s="156"/>
      <c r="I203" s="157"/>
      <c r="J203" s="158" t="s">
        <v>362</v>
      </c>
      <c r="AN203" s="131">
        <v>4</v>
      </c>
    </row>
    <row r="204" spans="1:40" s="131" customFormat="1" ht="25.5" outlineLevel="2" x14ac:dyDescent="0.2">
      <c r="A204" s="195" t="s">
        <v>162</v>
      </c>
      <c r="B204" s="218" t="s">
        <v>354</v>
      </c>
      <c r="C204" s="153" t="s">
        <v>523</v>
      </c>
      <c r="D204" s="154" t="s">
        <v>360</v>
      </c>
      <c r="E204" s="154">
        <f>4*1</f>
        <v>4</v>
      </c>
      <c r="F204" s="155">
        <v>0</v>
      </c>
      <c r="G204" s="155">
        <f>F204*E204</f>
        <v>0</v>
      </c>
      <c r="H204" s="156"/>
      <c r="I204" s="157"/>
      <c r="J204" s="158"/>
      <c r="AN204" s="131">
        <v>4</v>
      </c>
    </row>
    <row r="205" spans="1:40" s="131" customFormat="1" outlineLevel="1" x14ac:dyDescent="0.2">
      <c r="A205" s="195" t="s">
        <v>237</v>
      </c>
      <c r="B205" s="218" t="s">
        <v>193</v>
      </c>
      <c r="C205" s="196" t="s">
        <v>534</v>
      </c>
      <c r="D205" s="197" t="s">
        <v>530</v>
      </c>
      <c r="E205" s="197">
        <f>1*1</f>
        <v>1</v>
      </c>
      <c r="F205" s="207"/>
      <c r="G205" s="207" t="str">
        <f>""</f>
        <v/>
      </c>
      <c r="H205" s="195"/>
      <c r="I205" s="198"/>
      <c r="J205" s="199"/>
      <c r="AN205" s="131">
        <v>3</v>
      </c>
    </row>
    <row r="206" spans="1:40" s="131" customFormat="1" ht="25.5" outlineLevel="2" x14ac:dyDescent="0.2">
      <c r="A206" s="195" t="s">
        <v>162</v>
      </c>
      <c r="B206" s="218" t="s">
        <v>535</v>
      </c>
      <c r="C206" s="153" t="s">
        <v>536</v>
      </c>
      <c r="D206" s="154" t="s">
        <v>532</v>
      </c>
      <c r="E206" s="154">
        <f>1*1</f>
        <v>1</v>
      </c>
      <c r="F206" s="155">
        <v>0.28000000000000003</v>
      </c>
      <c r="G206" s="155">
        <f>F206*E206</f>
        <v>0.28000000000000003</v>
      </c>
      <c r="H206" s="156" t="s">
        <v>366</v>
      </c>
      <c r="I206" s="157"/>
      <c r="J206" s="158" t="s">
        <v>362</v>
      </c>
      <c r="AN206" s="131">
        <v>4</v>
      </c>
    </row>
    <row r="207" spans="1:40" s="131" customFormat="1" ht="25.5" outlineLevel="2" x14ac:dyDescent="0.2">
      <c r="A207" s="195" t="s">
        <v>162</v>
      </c>
      <c r="B207" s="218" t="s">
        <v>537</v>
      </c>
      <c r="C207" s="153"/>
      <c r="D207" s="154" t="s">
        <v>538</v>
      </c>
      <c r="E207" s="154">
        <f>1*1</f>
        <v>1</v>
      </c>
      <c r="F207" s="155">
        <v>0.1</v>
      </c>
      <c r="G207" s="155">
        <f>F207*E207</f>
        <v>0.1</v>
      </c>
      <c r="H207" s="156"/>
      <c r="I207" s="157"/>
      <c r="J207" s="158" t="s">
        <v>362</v>
      </c>
      <c r="AN207" s="131">
        <v>4</v>
      </c>
    </row>
    <row r="208" spans="1:40" s="131" customFormat="1" ht="25.5" outlineLevel="2" x14ac:dyDescent="0.2">
      <c r="A208" s="195" t="s">
        <v>162</v>
      </c>
      <c r="B208" s="218" t="s">
        <v>539</v>
      </c>
      <c r="C208" s="153" t="s">
        <v>523</v>
      </c>
      <c r="D208" s="154" t="s">
        <v>360</v>
      </c>
      <c r="E208" s="154">
        <f>4*1</f>
        <v>4</v>
      </c>
      <c r="F208" s="155">
        <v>0</v>
      </c>
      <c r="G208" s="155">
        <f>F208*E208</f>
        <v>0</v>
      </c>
      <c r="H208" s="156"/>
      <c r="I208" s="157"/>
      <c r="J208" s="158"/>
      <c r="AN208" s="131">
        <v>4</v>
      </c>
    </row>
    <row r="209" spans="1:40" s="131" customFormat="1" outlineLevel="1" x14ac:dyDescent="0.2">
      <c r="A209" s="195" t="s">
        <v>237</v>
      </c>
      <c r="B209" s="218" t="s">
        <v>194</v>
      </c>
      <c r="C209" s="196" t="s">
        <v>540</v>
      </c>
      <c r="D209" s="197" t="s">
        <v>541</v>
      </c>
      <c r="E209" s="197">
        <f>1*1</f>
        <v>1</v>
      </c>
      <c r="F209" s="207"/>
      <c r="G209" s="207" t="str">
        <f>""</f>
        <v/>
      </c>
      <c r="H209" s="195"/>
      <c r="I209" s="198"/>
      <c r="J209" s="199"/>
      <c r="AN209" s="131">
        <v>3</v>
      </c>
    </row>
    <row r="210" spans="1:40" s="131" customFormat="1" outlineLevel="2" x14ac:dyDescent="0.2">
      <c r="A210" s="195" t="s">
        <v>213</v>
      </c>
      <c r="B210" s="218" t="s">
        <v>542</v>
      </c>
      <c r="C210" s="200" t="s">
        <v>543</v>
      </c>
      <c r="D210" s="201" t="s">
        <v>544</v>
      </c>
      <c r="E210" s="201">
        <f>2*1</f>
        <v>2</v>
      </c>
      <c r="F210" s="202">
        <v>0.01</v>
      </c>
      <c r="G210" s="202">
        <f>F210*E210</f>
        <v>0.02</v>
      </c>
      <c r="H210" s="203" t="s">
        <v>126</v>
      </c>
      <c r="I210" s="204"/>
      <c r="J210" s="205"/>
      <c r="AN210" s="131">
        <v>4</v>
      </c>
    </row>
    <row r="211" spans="1:40" s="131" customFormat="1" outlineLevel="2" x14ac:dyDescent="0.2">
      <c r="A211" s="195" t="s">
        <v>213</v>
      </c>
      <c r="B211" s="218" t="s">
        <v>545</v>
      </c>
      <c r="C211" s="200" t="s">
        <v>546</v>
      </c>
      <c r="D211" s="201" t="s">
        <v>547</v>
      </c>
      <c r="E211" s="201">
        <f>1*1</f>
        <v>1</v>
      </c>
      <c r="F211" s="202">
        <v>0.74</v>
      </c>
      <c r="G211" s="202">
        <f>F211*E211</f>
        <v>0.74</v>
      </c>
      <c r="H211" s="203" t="s">
        <v>126</v>
      </c>
      <c r="I211" s="204"/>
      <c r="J211" s="205"/>
      <c r="AN211" s="131">
        <v>4</v>
      </c>
    </row>
    <row r="212" spans="1:40" s="131" customFormat="1" outlineLevel="1" x14ac:dyDescent="0.2">
      <c r="A212" s="195" t="s">
        <v>237</v>
      </c>
      <c r="B212" s="218" t="s">
        <v>195</v>
      </c>
      <c r="C212" s="196" t="s">
        <v>548</v>
      </c>
      <c r="D212" s="197" t="s">
        <v>549</v>
      </c>
      <c r="E212" s="197">
        <f>1*1</f>
        <v>1</v>
      </c>
      <c r="F212" s="207"/>
      <c r="G212" s="207" t="str">
        <f>""</f>
        <v/>
      </c>
      <c r="H212" s="195"/>
      <c r="I212" s="198"/>
      <c r="J212" s="199"/>
      <c r="AN212" s="131">
        <v>3</v>
      </c>
    </row>
    <row r="213" spans="1:40" s="131" customFormat="1" outlineLevel="2" x14ac:dyDescent="0.2">
      <c r="A213" s="195" t="s">
        <v>213</v>
      </c>
      <c r="B213" s="218" t="s">
        <v>550</v>
      </c>
      <c r="C213" s="200" t="s">
        <v>551</v>
      </c>
      <c r="D213" s="201" t="s">
        <v>552</v>
      </c>
      <c r="E213" s="201">
        <f>1*1</f>
        <v>1</v>
      </c>
      <c r="F213" s="202">
        <v>1.06</v>
      </c>
      <c r="G213" s="202">
        <f>F213*E213</f>
        <v>1.06</v>
      </c>
      <c r="H213" s="203" t="s">
        <v>126</v>
      </c>
      <c r="I213" s="204"/>
      <c r="J213" s="205"/>
      <c r="AN213" s="131">
        <v>4</v>
      </c>
    </row>
    <row r="214" spans="1:40" s="131" customFormat="1" outlineLevel="2" x14ac:dyDescent="0.2">
      <c r="A214" s="195" t="s">
        <v>213</v>
      </c>
      <c r="B214" s="218" t="s">
        <v>553</v>
      </c>
      <c r="C214" s="200" t="s">
        <v>554</v>
      </c>
      <c r="D214" s="201" t="s">
        <v>555</v>
      </c>
      <c r="E214" s="201">
        <f>1*1</f>
        <v>1</v>
      </c>
      <c r="F214" s="202">
        <v>0.06</v>
      </c>
      <c r="G214" s="202">
        <f>F214*E214</f>
        <v>0.06</v>
      </c>
      <c r="H214" s="203" t="s">
        <v>126</v>
      </c>
      <c r="I214" s="204"/>
      <c r="J214" s="205"/>
      <c r="AN214" s="131">
        <v>4</v>
      </c>
    </row>
    <row r="215" spans="1:40" s="131" customFormat="1" outlineLevel="2" x14ac:dyDescent="0.2">
      <c r="A215" s="195" t="s">
        <v>213</v>
      </c>
      <c r="B215" s="218" t="s">
        <v>556</v>
      </c>
      <c r="C215" s="200" t="s">
        <v>557</v>
      </c>
      <c r="D215" s="201" t="s">
        <v>558</v>
      </c>
      <c r="E215" s="201">
        <f>4*1</f>
        <v>4</v>
      </c>
      <c r="F215" s="202">
        <v>0.01</v>
      </c>
      <c r="G215" s="202">
        <f>F215*E215</f>
        <v>0.04</v>
      </c>
      <c r="H215" s="203" t="s">
        <v>126</v>
      </c>
      <c r="I215" s="204"/>
      <c r="J215" s="205"/>
      <c r="AN215" s="131">
        <v>4</v>
      </c>
    </row>
    <row r="216" spans="1:40" s="131" customFormat="1" outlineLevel="1" x14ac:dyDescent="0.2">
      <c r="A216" s="195" t="s">
        <v>237</v>
      </c>
      <c r="B216" s="218" t="s">
        <v>196</v>
      </c>
      <c r="C216" s="196" t="s">
        <v>559</v>
      </c>
      <c r="D216" s="197" t="s">
        <v>560</v>
      </c>
      <c r="E216" s="197">
        <f>1*1</f>
        <v>1</v>
      </c>
      <c r="F216" s="207"/>
      <c r="G216" s="207" t="str">
        <f>""</f>
        <v/>
      </c>
      <c r="H216" s="195"/>
      <c r="I216" s="198"/>
      <c r="J216" s="199"/>
      <c r="AN216" s="131">
        <v>3</v>
      </c>
    </row>
    <row r="217" spans="1:40" s="131" customFormat="1" outlineLevel="2" x14ac:dyDescent="0.2">
      <c r="A217" s="195" t="s">
        <v>213</v>
      </c>
      <c r="B217" s="218" t="s">
        <v>561</v>
      </c>
      <c r="C217" s="200" t="s">
        <v>562</v>
      </c>
      <c r="D217" s="201" t="s">
        <v>563</v>
      </c>
      <c r="E217" s="201">
        <f>1*1</f>
        <v>1</v>
      </c>
      <c r="F217" s="202">
        <v>0.63</v>
      </c>
      <c r="G217" s="202">
        <f>F217*E217</f>
        <v>0.63</v>
      </c>
      <c r="H217" s="203" t="s">
        <v>126</v>
      </c>
      <c r="I217" s="204"/>
      <c r="J217" s="205"/>
      <c r="AN217" s="131">
        <v>4</v>
      </c>
    </row>
    <row r="218" spans="1:40" s="131" customFormat="1" outlineLevel="2" x14ac:dyDescent="0.2">
      <c r="A218" s="195" t="s">
        <v>213</v>
      </c>
      <c r="B218" s="218" t="s">
        <v>564</v>
      </c>
      <c r="C218" s="200" t="s">
        <v>557</v>
      </c>
      <c r="D218" s="201" t="s">
        <v>558</v>
      </c>
      <c r="E218" s="201">
        <f>2*1</f>
        <v>2</v>
      </c>
      <c r="F218" s="202">
        <v>0.01</v>
      </c>
      <c r="G218" s="202">
        <f>F218*E218</f>
        <v>0.02</v>
      </c>
      <c r="H218" s="203" t="s">
        <v>126</v>
      </c>
      <c r="I218" s="204"/>
      <c r="J218" s="205"/>
      <c r="AN218" s="131">
        <v>4</v>
      </c>
    </row>
    <row r="219" spans="1:40" s="131" customFormat="1" outlineLevel="1" x14ac:dyDescent="0.2">
      <c r="A219" s="195" t="s">
        <v>237</v>
      </c>
      <c r="B219" s="218" t="s">
        <v>197</v>
      </c>
      <c r="C219" s="196" t="s">
        <v>565</v>
      </c>
      <c r="D219" s="197" t="s">
        <v>566</v>
      </c>
      <c r="E219" s="197">
        <f>1*1</f>
        <v>1</v>
      </c>
      <c r="F219" s="207"/>
      <c r="G219" s="207" t="str">
        <f>""</f>
        <v/>
      </c>
      <c r="H219" s="195"/>
      <c r="I219" s="198"/>
      <c r="J219" s="199"/>
      <c r="AN219" s="131">
        <v>3</v>
      </c>
    </row>
    <row r="220" spans="1:40" s="131" customFormat="1" ht="25.5" outlineLevel="2" x14ac:dyDescent="0.2">
      <c r="A220" s="195" t="s">
        <v>162</v>
      </c>
      <c r="B220" s="218" t="s">
        <v>567</v>
      </c>
      <c r="C220" s="153" t="s">
        <v>568</v>
      </c>
      <c r="D220" s="154" t="s">
        <v>569</v>
      </c>
      <c r="E220" s="154">
        <f>1*1</f>
        <v>1</v>
      </c>
      <c r="F220" s="155">
        <v>0.32</v>
      </c>
      <c r="G220" s="155">
        <f>F220*E220</f>
        <v>0.32</v>
      </c>
      <c r="H220" s="156" t="s">
        <v>366</v>
      </c>
      <c r="I220" s="157"/>
      <c r="J220" s="158" t="s">
        <v>362</v>
      </c>
      <c r="AN220" s="131">
        <v>4</v>
      </c>
    </row>
    <row r="221" spans="1:40" s="131" customFormat="1" ht="25.5" outlineLevel="2" x14ac:dyDescent="0.2">
      <c r="A221" s="195" t="s">
        <v>162</v>
      </c>
      <c r="B221" s="218" t="s">
        <v>570</v>
      </c>
      <c r="C221" s="153"/>
      <c r="D221" s="154" t="s">
        <v>571</v>
      </c>
      <c r="E221" s="154">
        <f>1*1</f>
        <v>1</v>
      </c>
      <c r="F221" s="155">
        <v>0.1</v>
      </c>
      <c r="G221" s="155">
        <f>F221*E221</f>
        <v>0.1</v>
      </c>
      <c r="H221" s="156"/>
      <c r="I221" s="157"/>
      <c r="J221" s="158" t="s">
        <v>362</v>
      </c>
      <c r="AN221" s="131">
        <v>4</v>
      </c>
    </row>
    <row r="222" spans="1:40" s="131" customFormat="1" ht="25.5" outlineLevel="2" x14ac:dyDescent="0.2">
      <c r="A222" s="195" t="s">
        <v>162</v>
      </c>
      <c r="B222" s="218" t="s">
        <v>572</v>
      </c>
      <c r="C222" s="153" t="s">
        <v>523</v>
      </c>
      <c r="D222" s="154" t="s">
        <v>360</v>
      </c>
      <c r="E222" s="154">
        <f>4*1</f>
        <v>4</v>
      </c>
      <c r="F222" s="155">
        <v>0</v>
      </c>
      <c r="G222" s="155">
        <f>F222*E222</f>
        <v>0</v>
      </c>
      <c r="H222" s="156"/>
      <c r="I222" s="157"/>
      <c r="J222" s="158"/>
      <c r="AN222" s="131">
        <v>4</v>
      </c>
    </row>
    <row r="223" spans="1:40" s="131" customFormat="1" outlineLevel="1" x14ac:dyDescent="0.2">
      <c r="A223" s="195" t="s">
        <v>237</v>
      </c>
      <c r="B223" s="218" t="s">
        <v>198</v>
      </c>
      <c r="C223" s="196" t="s">
        <v>573</v>
      </c>
      <c r="D223" s="197" t="s">
        <v>566</v>
      </c>
      <c r="E223" s="197">
        <f>1*1</f>
        <v>1</v>
      </c>
      <c r="F223" s="207"/>
      <c r="G223" s="207" t="str">
        <f>""</f>
        <v/>
      </c>
      <c r="H223" s="195"/>
      <c r="I223" s="198"/>
      <c r="J223" s="199"/>
      <c r="AN223" s="131">
        <v>3</v>
      </c>
    </row>
    <row r="224" spans="1:40" s="131" customFormat="1" ht="25.5" outlineLevel="2" x14ac:dyDescent="0.2">
      <c r="A224" s="195" t="s">
        <v>162</v>
      </c>
      <c r="B224" s="218" t="s">
        <v>574</v>
      </c>
      <c r="C224" s="153" t="s">
        <v>575</v>
      </c>
      <c r="D224" s="154" t="s">
        <v>569</v>
      </c>
      <c r="E224" s="154">
        <f>1*1</f>
        <v>1</v>
      </c>
      <c r="F224" s="155">
        <v>0.32</v>
      </c>
      <c r="G224" s="155">
        <f>F224*E224</f>
        <v>0.32</v>
      </c>
      <c r="H224" s="156" t="s">
        <v>366</v>
      </c>
      <c r="I224" s="157"/>
      <c r="J224" s="158" t="s">
        <v>362</v>
      </c>
      <c r="AN224" s="131">
        <v>4</v>
      </c>
    </row>
    <row r="225" spans="1:40" s="131" customFormat="1" ht="25.5" outlineLevel="2" x14ac:dyDescent="0.2">
      <c r="A225" s="195" t="s">
        <v>162</v>
      </c>
      <c r="B225" s="218" t="s">
        <v>576</v>
      </c>
      <c r="C225" s="153"/>
      <c r="D225" s="154" t="s">
        <v>577</v>
      </c>
      <c r="E225" s="154">
        <f>1*1</f>
        <v>1</v>
      </c>
      <c r="F225" s="155">
        <v>0.1</v>
      </c>
      <c r="G225" s="155">
        <f>F225*E225</f>
        <v>0.1</v>
      </c>
      <c r="H225" s="156"/>
      <c r="I225" s="157"/>
      <c r="J225" s="158" t="s">
        <v>362</v>
      </c>
      <c r="AN225" s="131">
        <v>4</v>
      </c>
    </row>
    <row r="226" spans="1:40" s="131" customFormat="1" ht="25.5" outlineLevel="2" x14ac:dyDescent="0.2">
      <c r="A226" s="195" t="s">
        <v>162</v>
      </c>
      <c r="B226" s="218" t="s">
        <v>578</v>
      </c>
      <c r="C226" s="153" t="s">
        <v>523</v>
      </c>
      <c r="D226" s="154" t="s">
        <v>360</v>
      </c>
      <c r="E226" s="154">
        <f>4*1</f>
        <v>4</v>
      </c>
      <c r="F226" s="155">
        <v>0</v>
      </c>
      <c r="G226" s="155">
        <f>F226*E226</f>
        <v>0</v>
      </c>
      <c r="H226" s="156"/>
      <c r="I226" s="157"/>
      <c r="J226" s="158"/>
      <c r="AN226" s="131">
        <v>4</v>
      </c>
    </row>
    <row r="227" spans="1:40" s="131" customFormat="1" outlineLevel="1" x14ac:dyDescent="0.2">
      <c r="A227" s="195" t="s">
        <v>237</v>
      </c>
      <c r="B227" s="218" t="s">
        <v>199</v>
      </c>
      <c r="C227" s="196" t="s">
        <v>579</v>
      </c>
      <c r="D227" s="197" t="s">
        <v>580</v>
      </c>
      <c r="E227" s="197">
        <f>1*1</f>
        <v>1</v>
      </c>
      <c r="F227" s="207"/>
      <c r="G227" s="207" t="str">
        <f>""</f>
        <v/>
      </c>
      <c r="H227" s="195"/>
      <c r="I227" s="198"/>
      <c r="J227" s="199"/>
      <c r="AN227" s="131">
        <v>3</v>
      </c>
    </row>
    <row r="228" spans="1:40" s="131" customFormat="1" outlineLevel="2" x14ac:dyDescent="0.2">
      <c r="A228" s="195" t="s">
        <v>213</v>
      </c>
      <c r="B228" s="218" t="s">
        <v>581</v>
      </c>
      <c r="C228" s="200" t="s">
        <v>390</v>
      </c>
      <c r="D228" s="201" t="s">
        <v>391</v>
      </c>
      <c r="E228" s="201">
        <f>1*1</f>
        <v>1</v>
      </c>
      <c r="F228" s="202">
        <v>0.14000000000000001</v>
      </c>
      <c r="G228" s="202">
        <f t="shared" ref="G228:G234" si="11">F228*E228</f>
        <v>0.14000000000000001</v>
      </c>
      <c r="H228" s="203" t="s">
        <v>126</v>
      </c>
      <c r="I228" s="204"/>
      <c r="J228" s="205"/>
      <c r="AN228" s="131">
        <v>4</v>
      </c>
    </row>
    <row r="229" spans="1:40" s="131" customFormat="1" outlineLevel="2" x14ac:dyDescent="0.2">
      <c r="A229" s="195" t="s">
        <v>213</v>
      </c>
      <c r="B229" s="218" t="s">
        <v>582</v>
      </c>
      <c r="C229" s="200" t="s">
        <v>583</v>
      </c>
      <c r="D229" s="201" t="s">
        <v>286</v>
      </c>
      <c r="E229" s="201">
        <f>1*1</f>
        <v>1</v>
      </c>
      <c r="F229" s="202">
        <v>0.47</v>
      </c>
      <c r="G229" s="202">
        <f t="shared" si="11"/>
        <v>0.47</v>
      </c>
      <c r="H229" s="203" t="s">
        <v>126</v>
      </c>
      <c r="I229" s="204"/>
      <c r="J229" s="205"/>
      <c r="AN229" s="131">
        <v>4</v>
      </c>
    </row>
    <row r="230" spans="1:40" s="131" customFormat="1" outlineLevel="2" x14ac:dyDescent="0.2">
      <c r="A230" s="195" t="s">
        <v>213</v>
      </c>
      <c r="B230" s="218" t="s">
        <v>584</v>
      </c>
      <c r="C230" s="200" t="s">
        <v>585</v>
      </c>
      <c r="D230" s="201" t="s">
        <v>286</v>
      </c>
      <c r="E230" s="201">
        <f>1*1</f>
        <v>1</v>
      </c>
      <c r="F230" s="202">
        <v>0.47</v>
      </c>
      <c r="G230" s="202">
        <f t="shared" si="11"/>
        <v>0.47</v>
      </c>
      <c r="H230" s="203" t="s">
        <v>126</v>
      </c>
      <c r="I230" s="204"/>
      <c r="J230" s="205"/>
      <c r="AN230" s="131">
        <v>4</v>
      </c>
    </row>
    <row r="231" spans="1:40" s="131" customFormat="1" outlineLevel="2" x14ac:dyDescent="0.2">
      <c r="A231" s="195" t="s">
        <v>213</v>
      </c>
      <c r="B231" s="218" t="s">
        <v>586</v>
      </c>
      <c r="C231" s="200" t="s">
        <v>288</v>
      </c>
      <c r="D231" s="201" t="s">
        <v>287</v>
      </c>
      <c r="E231" s="201">
        <f>1*1</f>
        <v>1</v>
      </c>
      <c r="F231" s="202">
        <v>0.45</v>
      </c>
      <c r="G231" s="202">
        <f t="shared" si="11"/>
        <v>0.45</v>
      </c>
      <c r="H231" s="203" t="s">
        <v>126</v>
      </c>
      <c r="I231" s="204"/>
      <c r="J231" s="205"/>
      <c r="AN231" s="131">
        <v>4</v>
      </c>
    </row>
    <row r="232" spans="1:40" s="131" customFormat="1" outlineLevel="2" x14ac:dyDescent="0.2">
      <c r="A232" s="195" t="s">
        <v>213</v>
      </c>
      <c r="B232" s="218" t="s">
        <v>587</v>
      </c>
      <c r="C232" s="200" t="s">
        <v>588</v>
      </c>
      <c r="D232" s="201" t="s">
        <v>589</v>
      </c>
      <c r="E232" s="201">
        <f>3*1</f>
        <v>3</v>
      </c>
      <c r="F232" s="202">
        <v>0.01</v>
      </c>
      <c r="G232" s="202">
        <f t="shared" si="11"/>
        <v>0.03</v>
      </c>
      <c r="H232" s="203" t="s">
        <v>126</v>
      </c>
      <c r="I232" s="204"/>
      <c r="J232" s="205"/>
      <c r="AN232" s="131">
        <v>4</v>
      </c>
    </row>
    <row r="233" spans="1:40" s="131" customFormat="1" outlineLevel="2" x14ac:dyDescent="0.2">
      <c r="A233" s="195" t="s">
        <v>213</v>
      </c>
      <c r="B233" s="218" t="s">
        <v>590</v>
      </c>
      <c r="C233" s="200" t="s">
        <v>392</v>
      </c>
      <c r="D233" s="201" t="s">
        <v>289</v>
      </c>
      <c r="E233" s="201">
        <f>2*1</f>
        <v>2</v>
      </c>
      <c r="F233" s="202">
        <v>0.01</v>
      </c>
      <c r="G233" s="202">
        <f t="shared" si="11"/>
        <v>0.02</v>
      </c>
      <c r="H233" s="203" t="s">
        <v>126</v>
      </c>
      <c r="I233" s="204"/>
      <c r="J233" s="205"/>
      <c r="AN233" s="131">
        <v>4</v>
      </c>
    </row>
    <row r="234" spans="1:40" s="131" customFormat="1" outlineLevel="2" x14ac:dyDescent="0.2">
      <c r="A234" s="195" t="s">
        <v>213</v>
      </c>
      <c r="B234" s="218" t="s">
        <v>591</v>
      </c>
      <c r="C234" s="200" t="s">
        <v>592</v>
      </c>
      <c r="D234" s="201" t="s">
        <v>287</v>
      </c>
      <c r="E234" s="201">
        <f>1*1</f>
        <v>1</v>
      </c>
      <c r="F234" s="202">
        <v>0.45</v>
      </c>
      <c r="G234" s="202">
        <f t="shared" si="11"/>
        <v>0.45</v>
      </c>
      <c r="H234" s="203" t="s">
        <v>126</v>
      </c>
      <c r="I234" s="204"/>
      <c r="J234" s="205"/>
      <c r="AN234" s="131">
        <v>4</v>
      </c>
    </row>
    <row r="235" spans="1:40" s="131" customFormat="1" outlineLevel="1" x14ac:dyDescent="0.2">
      <c r="A235" s="195" t="s">
        <v>237</v>
      </c>
      <c r="B235" s="218" t="s">
        <v>200</v>
      </c>
      <c r="C235" s="196" t="s">
        <v>593</v>
      </c>
      <c r="D235" s="197" t="s">
        <v>594</v>
      </c>
      <c r="E235" s="197">
        <f>2*1</f>
        <v>2</v>
      </c>
      <c r="F235" s="207"/>
      <c r="G235" s="207" t="str">
        <f>""</f>
        <v/>
      </c>
      <c r="H235" s="195"/>
      <c r="I235" s="198"/>
      <c r="J235" s="199"/>
      <c r="AN235" s="131">
        <v>3</v>
      </c>
    </row>
    <row r="236" spans="1:40" s="131" customFormat="1" outlineLevel="2" x14ac:dyDescent="0.2">
      <c r="A236" s="195" t="s">
        <v>213</v>
      </c>
      <c r="B236" s="218" t="s">
        <v>595</v>
      </c>
      <c r="C236" s="200" t="s">
        <v>596</v>
      </c>
      <c r="D236" s="201" t="s">
        <v>597</v>
      </c>
      <c r="E236" s="201">
        <f>1*2</f>
        <v>2</v>
      </c>
      <c r="F236" s="202">
        <v>7.0000000000000007E-2</v>
      </c>
      <c r="G236" s="202">
        <f>F236*E236</f>
        <v>0.14000000000000001</v>
      </c>
      <c r="H236" s="203">
        <v>1.4300999999999999</v>
      </c>
      <c r="I236" s="204"/>
      <c r="J236" s="205"/>
      <c r="AN236" s="131">
        <v>4</v>
      </c>
    </row>
    <row r="237" spans="1:40" s="131" customFormat="1" outlineLevel="2" x14ac:dyDescent="0.2">
      <c r="A237" s="195" t="s">
        <v>213</v>
      </c>
      <c r="B237" s="218" t="s">
        <v>598</v>
      </c>
      <c r="C237" s="200" t="s">
        <v>599</v>
      </c>
      <c r="D237" s="201" t="s">
        <v>600</v>
      </c>
      <c r="E237" s="201">
        <f>1*2</f>
        <v>2</v>
      </c>
      <c r="F237" s="202">
        <v>0.28999999999999998</v>
      </c>
      <c r="G237" s="202">
        <f>F237*E237</f>
        <v>0.57999999999999996</v>
      </c>
      <c r="H237" s="203">
        <v>1.4300999999999999</v>
      </c>
      <c r="I237" s="204"/>
      <c r="J237" s="205"/>
      <c r="AN237" s="131">
        <v>4</v>
      </c>
    </row>
    <row r="238" spans="1:40" s="131" customFormat="1" outlineLevel="2" x14ac:dyDescent="0.2">
      <c r="A238" s="195" t="s">
        <v>162</v>
      </c>
      <c r="B238" s="218" t="s">
        <v>601</v>
      </c>
      <c r="C238" s="153" t="s">
        <v>602</v>
      </c>
      <c r="D238" s="154" t="s">
        <v>603</v>
      </c>
      <c r="E238" s="154">
        <f>1*2</f>
        <v>2</v>
      </c>
      <c r="F238" s="155">
        <v>0.01</v>
      </c>
      <c r="G238" s="155">
        <f>F238*E238</f>
        <v>0.02</v>
      </c>
      <c r="H238" s="156">
        <v>1.4300999999999999</v>
      </c>
      <c r="I238" s="157"/>
      <c r="J238" s="158" t="s">
        <v>973</v>
      </c>
      <c r="AN238" s="131">
        <v>4</v>
      </c>
    </row>
    <row r="239" spans="1:40" s="131" customFormat="1" outlineLevel="1" x14ac:dyDescent="0.2">
      <c r="A239" s="195" t="s">
        <v>237</v>
      </c>
      <c r="B239" s="218" t="s">
        <v>201</v>
      </c>
      <c r="C239" s="196" t="s">
        <v>605</v>
      </c>
      <c r="D239" s="197" t="s">
        <v>606</v>
      </c>
      <c r="E239" s="197">
        <f t="shared" ref="E239:E270" si="12">1*1</f>
        <v>1</v>
      </c>
      <c r="F239" s="207"/>
      <c r="G239" s="207" t="str">
        <f>""</f>
        <v/>
      </c>
      <c r="H239" s="195"/>
      <c r="I239" s="198"/>
      <c r="J239" s="199"/>
      <c r="AN239" s="131">
        <v>3</v>
      </c>
    </row>
    <row r="240" spans="1:40" s="131" customFormat="1" outlineLevel="2" x14ac:dyDescent="0.2">
      <c r="A240" s="195" t="s">
        <v>213</v>
      </c>
      <c r="B240" s="218" t="s">
        <v>607</v>
      </c>
      <c r="C240" s="200" t="s">
        <v>608</v>
      </c>
      <c r="D240" s="201" t="s">
        <v>609</v>
      </c>
      <c r="E240" s="201">
        <f t="shared" si="12"/>
        <v>1</v>
      </c>
      <c r="F240" s="202">
        <v>0.09</v>
      </c>
      <c r="G240" s="202">
        <f>F240*E240</f>
        <v>0.09</v>
      </c>
      <c r="H240" s="203" t="s">
        <v>126</v>
      </c>
      <c r="I240" s="204"/>
      <c r="J240" s="205"/>
      <c r="AN240" s="131">
        <v>4</v>
      </c>
    </row>
    <row r="241" spans="1:40" s="131" customFormat="1" outlineLevel="2" x14ac:dyDescent="0.2">
      <c r="A241" s="195" t="s">
        <v>213</v>
      </c>
      <c r="B241" s="218" t="s">
        <v>610</v>
      </c>
      <c r="C241" s="200" t="s">
        <v>611</v>
      </c>
      <c r="D241" s="201" t="s">
        <v>393</v>
      </c>
      <c r="E241" s="201">
        <f t="shared" si="12"/>
        <v>1</v>
      </c>
      <c r="F241" s="202">
        <v>0</v>
      </c>
      <c r="G241" s="202">
        <f>F241*E241</f>
        <v>0</v>
      </c>
      <c r="H241" s="203" t="s">
        <v>126</v>
      </c>
      <c r="I241" s="204"/>
      <c r="J241" s="205"/>
      <c r="AN241" s="131">
        <v>4</v>
      </c>
    </row>
    <row r="242" spans="1:40" s="131" customFormat="1" outlineLevel="2" x14ac:dyDescent="0.2">
      <c r="A242" s="195" t="s">
        <v>213</v>
      </c>
      <c r="B242" s="218" t="s">
        <v>612</v>
      </c>
      <c r="C242" s="200" t="s">
        <v>613</v>
      </c>
      <c r="D242" s="201" t="s">
        <v>394</v>
      </c>
      <c r="E242" s="201">
        <f t="shared" si="12"/>
        <v>1</v>
      </c>
      <c r="F242" s="202">
        <v>0.02</v>
      </c>
      <c r="G242" s="202">
        <f>F242*E242</f>
        <v>0.02</v>
      </c>
      <c r="H242" s="203" t="s">
        <v>126</v>
      </c>
      <c r="I242" s="204"/>
      <c r="J242" s="205"/>
      <c r="AN242" s="131">
        <v>4</v>
      </c>
    </row>
    <row r="243" spans="1:40" s="131" customFormat="1" x14ac:dyDescent="0.2">
      <c r="A243" s="195" t="s">
        <v>237</v>
      </c>
      <c r="B243" s="222" t="s">
        <v>201</v>
      </c>
      <c r="C243" s="196" t="s">
        <v>877</v>
      </c>
      <c r="D243" s="197" t="s">
        <v>606</v>
      </c>
      <c r="E243" s="197">
        <v>1</v>
      </c>
      <c r="F243" s="197"/>
      <c r="G243" s="197"/>
      <c r="H243" s="195"/>
      <c r="I243" s="198" t="s">
        <v>864</v>
      </c>
      <c r="J243" s="199"/>
      <c r="AN243" s="131">
        <v>3</v>
      </c>
    </row>
    <row r="244" spans="1:40" s="131" customFormat="1" x14ac:dyDescent="0.2">
      <c r="A244" s="195" t="s">
        <v>213</v>
      </c>
      <c r="B244" s="222" t="s">
        <v>607</v>
      </c>
      <c r="C244" s="200" t="s">
        <v>878</v>
      </c>
      <c r="D244" s="201" t="s">
        <v>609</v>
      </c>
      <c r="E244" s="201">
        <v>1</v>
      </c>
      <c r="F244" s="202">
        <v>0.09</v>
      </c>
      <c r="G244" s="202">
        <f>F244*E244</f>
        <v>0.09</v>
      </c>
      <c r="H244" s="203">
        <v>1.4300999999999999</v>
      </c>
      <c r="I244" s="198" t="s">
        <v>864</v>
      </c>
      <c r="J244" s="205"/>
      <c r="AN244" s="131">
        <v>4</v>
      </c>
    </row>
    <row r="245" spans="1:40" s="131" customFormat="1" x14ac:dyDescent="0.2">
      <c r="A245" s="195" t="s">
        <v>213</v>
      </c>
      <c r="B245" s="222" t="s">
        <v>610</v>
      </c>
      <c r="C245" s="200" t="s">
        <v>879</v>
      </c>
      <c r="D245" s="201" t="s">
        <v>393</v>
      </c>
      <c r="E245" s="201">
        <v>1</v>
      </c>
      <c r="F245" s="202">
        <v>0</v>
      </c>
      <c r="G245" s="202">
        <f>F245*E245</f>
        <v>0</v>
      </c>
      <c r="H245" s="203">
        <v>1.4300999999999999</v>
      </c>
      <c r="I245" s="198" t="s">
        <v>864</v>
      </c>
      <c r="J245" s="205"/>
      <c r="AN245" s="131">
        <v>4</v>
      </c>
    </row>
    <row r="246" spans="1:40" s="131" customFormat="1" x14ac:dyDescent="0.2">
      <c r="A246" s="195" t="s">
        <v>213</v>
      </c>
      <c r="B246" s="222" t="s">
        <v>612</v>
      </c>
      <c r="C246" s="200" t="s">
        <v>880</v>
      </c>
      <c r="D246" s="201" t="s">
        <v>394</v>
      </c>
      <c r="E246" s="201">
        <v>1</v>
      </c>
      <c r="F246" s="202">
        <v>0.02</v>
      </c>
      <c r="G246" s="202">
        <f>F246*E246</f>
        <v>0.02</v>
      </c>
      <c r="H246" s="203">
        <v>1.4300999999999999</v>
      </c>
      <c r="I246" s="198" t="s">
        <v>864</v>
      </c>
      <c r="J246" s="205"/>
      <c r="AN246" s="131">
        <v>4</v>
      </c>
    </row>
    <row r="247" spans="1:40" s="131" customFormat="1" outlineLevel="1" x14ac:dyDescent="0.2">
      <c r="A247" s="195" t="s">
        <v>237</v>
      </c>
      <c r="B247" s="218" t="s">
        <v>202</v>
      </c>
      <c r="C247" s="196" t="s">
        <v>614</v>
      </c>
      <c r="D247" s="197" t="s">
        <v>615</v>
      </c>
      <c r="E247" s="197">
        <f t="shared" si="12"/>
        <v>1</v>
      </c>
      <c r="F247" s="207"/>
      <c r="G247" s="207" t="str">
        <f>""</f>
        <v/>
      </c>
      <c r="H247" s="195"/>
      <c r="I247" s="198"/>
      <c r="J247" s="199"/>
      <c r="AN247" s="131">
        <v>3</v>
      </c>
    </row>
    <row r="248" spans="1:40" s="131" customFormat="1" outlineLevel="2" x14ac:dyDescent="0.2">
      <c r="A248" s="195" t="s">
        <v>213</v>
      </c>
      <c r="B248" s="218" t="s">
        <v>616</v>
      </c>
      <c r="C248" s="200" t="s">
        <v>617</v>
      </c>
      <c r="D248" s="201" t="s">
        <v>618</v>
      </c>
      <c r="E248" s="201">
        <f t="shared" si="12"/>
        <v>1</v>
      </c>
      <c r="F248" s="202">
        <v>0.37</v>
      </c>
      <c r="G248" s="202">
        <f>F248*E248</f>
        <v>0.37</v>
      </c>
      <c r="H248" s="203" t="s">
        <v>126</v>
      </c>
      <c r="I248" s="204"/>
      <c r="J248" s="205"/>
      <c r="AN248" s="131">
        <v>4</v>
      </c>
    </row>
    <row r="249" spans="1:40" s="131" customFormat="1" outlineLevel="2" x14ac:dyDescent="0.2">
      <c r="A249" s="195" t="s">
        <v>213</v>
      </c>
      <c r="B249" s="218" t="s">
        <v>619</v>
      </c>
      <c r="C249" s="200" t="s">
        <v>620</v>
      </c>
      <c r="D249" s="201" t="s">
        <v>621</v>
      </c>
      <c r="E249" s="201">
        <f t="shared" si="12"/>
        <v>1</v>
      </c>
      <c r="F249" s="202">
        <v>0.05</v>
      </c>
      <c r="G249" s="202">
        <f>F249*E249</f>
        <v>0.05</v>
      </c>
      <c r="H249" s="203" t="s">
        <v>126</v>
      </c>
      <c r="I249" s="204"/>
      <c r="J249" s="205"/>
      <c r="AN249" s="131">
        <v>4</v>
      </c>
    </row>
    <row r="250" spans="1:40" s="131" customFormat="1" outlineLevel="2" x14ac:dyDescent="0.2">
      <c r="A250" s="195" t="s">
        <v>213</v>
      </c>
      <c r="B250" s="218" t="s">
        <v>622</v>
      </c>
      <c r="C250" s="200" t="s">
        <v>623</v>
      </c>
      <c r="D250" s="201" t="s">
        <v>624</v>
      </c>
      <c r="E250" s="201">
        <f t="shared" si="12"/>
        <v>1</v>
      </c>
      <c r="F250" s="202">
        <v>0.05</v>
      </c>
      <c r="G250" s="202">
        <f>F250*E250</f>
        <v>0.05</v>
      </c>
      <c r="H250" s="203" t="s">
        <v>126</v>
      </c>
      <c r="I250" s="204"/>
      <c r="J250" s="205"/>
      <c r="AN250" s="131">
        <v>4</v>
      </c>
    </row>
    <row r="251" spans="1:40" s="131" customFormat="1" outlineLevel="2" x14ac:dyDescent="0.2">
      <c r="A251" s="195" t="s">
        <v>213</v>
      </c>
      <c r="B251" s="218" t="s">
        <v>625</v>
      </c>
      <c r="C251" s="200" t="s">
        <v>626</v>
      </c>
      <c r="D251" s="201" t="s">
        <v>627</v>
      </c>
      <c r="E251" s="201">
        <f t="shared" si="12"/>
        <v>1</v>
      </c>
      <c r="F251" s="202">
        <v>0.01</v>
      </c>
      <c r="G251" s="202">
        <f>F251*E251</f>
        <v>0.01</v>
      </c>
      <c r="H251" s="203" t="s">
        <v>126</v>
      </c>
      <c r="I251" s="204"/>
      <c r="J251" s="205"/>
      <c r="AN251" s="131">
        <v>4</v>
      </c>
    </row>
    <row r="252" spans="1:40" s="131" customFormat="1" outlineLevel="1" x14ac:dyDescent="0.2">
      <c r="A252" s="195" t="s">
        <v>237</v>
      </c>
      <c r="B252" s="218" t="s">
        <v>203</v>
      </c>
      <c r="C252" s="196" t="s">
        <v>628</v>
      </c>
      <c r="D252" s="197" t="s">
        <v>615</v>
      </c>
      <c r="E252" s="197">
        <f t="shared" si="12"/>
        <v>1</v>
      </c>
      <c r="F252" s="207"/>
      <c r="G252" s="207" t="str">
        <f>""</f>
        <v/>
      </c>
      <c r="H252" s="195"/>
      <c r="I252" s="198"/>
      <c r="J252" s="199"/>
      <c r="AN252" s="131">
        <v>3</v>
      </c>
    </row>
    <row r="253" spans="1:40" s="131" customFormat="1" outlineLevel="2" x14ac:dyDescent="0.2">
      <c r="A253" s="195" t="s">
        <v>213</v>
      </c>
      <c r="B253" s="218" t="s">
        <v>629</v>
      </c>
      <c r="C253" s="200" t="s">
        <v>617</v>
      </c>
      <c r="D253" s="201" t="s">
        <v>618</v>
      </c>
      <c r="E253" s="201">
        <f t="shared" si="12"/>
        <v>1</v>
      </c>
      <c r="F253" s="202">
        <v>0.37</v>
      </c>
      <c r="G253" s="202">
        <f>F253*E253</f>
        <v>0.37</v>
      </c>
      <c r="H253" s="203" t="s">
        <v>126</v>
      </c>
      <c r="I253" s="204"/>
      <c r="J253" s="205"/>
      <c r="AN253" s="131">
        <v>4</v>
      </c>
    </row>
    <row r="254" spans="1:40" s="131" customFormat="1" outlineLevel="2" x14ac:dyDescent="0.2">
      <c r="A254" s="195" t="s">
        <v>213</v>
      </c>
      <c r="B254" s="218" t="s">
        <v>630</v>
      </c>
      <c r="C254" s="200" t="s">
        <v>620</v>
      </c>
      <c r="D254" s="201" t="s">
        <v>621</v>
      </c>
      <c r="E254" s="201">
        <f t="shared" si="12"/>
        <v>1</v>
      </c>
      <c r="F254" s="202">
        <v>0.05</v>
      </c>
      <c r="G254" s="202">
        <f>F254*E254</f>
        <v>0.05</v>
      </c>
      <c r="H254" s="203" t="s">
        <v>126</v>
      </c>
      <c r="I254" s="204"/>
      <c r="J254" s="205"/>
      <c r="AN254" s="131">
        <v>4</v>
      </c>
    </row>
    <row r="255" spans="1:40" s="131" customFormat="1" outlineLevel="2" x14ac:dyDescent="0.2">
      <c r="A255" s="195" t="s">
        <v>213</v>
      </c>
      <c r="B255" s="218" t="s">
        <v>631</v>
      </c>
      <c r="C255" s="200" t="s">
        <v>623</v>
      </c>
      <c r="D255" s="201" t="s">
        <v>624</v>
      </c>
      <c r="E255" s="201">
        <f t="shared" si="12"/>
        <v>1</v>
      </c>
      <c r="F255" s="202">
        <v>0.05</v>
      </c>
      <c r="G255" s="202">
        <f>F255*E255</f>
        <v>0.05</v>
      </c>
      <c r="H255" s="203" t="s">
        <v>126</v>
      </c>
      <c r="I255" s="204"/>
      <c r="J255" s="205"/>
      <c r="AN255" s="131">
        <v>4</v>
      </c>
    </row>
    <row r="256" spans="1:40" s="131" customFormat="1" outlineLevel="2" x14ac:dyDescent="0.2">
      <c r="A256" s="195" t="s">
        <v>213</v>
      </c>
      <c r="B256" s="218" t="s">
        <v>632</v>
      </c>
      <c r="C256" s="200" t="s">
        <v>626</v>
      </c>
      <c r="D256" s="201" t="s">
        <v>627</v>
      </c>
      <c r="E256" s="201">
        <f t="shared" si="12"/>
        <v>1</v>
      </c>
      <c r="F256" s="202">
        <v>0.01</v>
      </c>
      <c r="G256" s="202">
        <f>F256*E256</f>
        <v>0.01</v>
      </c>
      <c r="H256" s="203" t="s">
        <v>126</v>
      </c>
      <c r="I256" s="204"/>
      <c r="J256" s="205"/>
      <c r="AN256" s="131">
        <v>4</v>
      </c>
    </row>
    <row r="257" spans="1:40" s="131" customFormat="1" outlineLevel="1" x14ac:dyDescent="0.2">
      <c r="A257" s="195" t="s">
        <v>237</v>
      </c>
      <c r="B257" s="218" t="s">
        <v>204</v>
      </c>
      <c r="C257" s="196" t="s">
        <v>633</v>
      </c>
      <c r="D257" s="197" t="s">
        <v>634</v>
      </c>
      <c r="E257" s="197">
        <f t="shared" si="12"/>
        <v>1</v>
      </c>
      <c r="F257" s="207"/>
      <c r="G257" s="207" t="str">
        <f>""</f>
        <v/>
      </c>
      <c r="H257" s="195"/>
      <c r="I257" s="198"/>
      <c r="J257" s="199"/>
      <c r="AN257" s="131">
        <v>3</v>
      </c>
    </row>
    <row r="258" spans="1:40" s="131" customFormat="1" outlineLevel="2" x14ac:dyDescent="0.2">
      <c r="A258" s="195" t="s">
        <v>213</v>
      </c>
      <c r="B258" s="218" t="s">
        <v>635</v>
      </c>
      <c r="C258" s="200" t="s">
        <v>636</v>
      </c>
      <c r="D258" s="201" t="s">
        <v>637</v>
      </c>
      <c r="E258" s="201">
        <f t="shared" si="12"/>
        <v>1</v>
      </c>
      <c r="F258" s="202">
        <v>0.23</v>
      </c>
      <c r="G258" s="202">
        <f>F258*E258</f>
        <v>0.23</v>
      </c>
      <c r="H258" s="203" t="s">
        <v>126</v>
      </c>
      <c r="I258" s="204"/>
      <c r="J258" s="205"/>
      <c r="AN258" s="131">
        <v>4</v>
      </c>
    </row>
    <row r="259" spans="1:40" s="131" customFormat="1" outlineLevel="2" x14ac:dyDescent="0.2">
      <c r="A259" s="195" t="s">
        <v>213</v>
      </c>
      <c r="B259" s="218" t="s">
        <v>638</v>
      </c>
      <c r="C259" s="200" t="s">
        <v>639</v>
      </c>
      <c r="D259" s="201" t="s">
        <v>640</v>
      </c>
      <c r="E259" s="201">
        <f t="shared" si="12"/>
        <v>1</v>
      </c>
      <c r="F259" s="202">
        <v>0.08</v>
      </c>
      <c r="G259" s="202">
        <f>F259*E259</f>
        <v>0.08</v>
      </c>
      <c r="H259" s="203" t="s">
        <v>126</v>
      </c>
      <c r="I259" s="204"/>
      <c r="J259" s="205"/>
      <c r="AN259" s="131">
        <v>4</v>
      </c>
    </row>
    <row r="260" spans="1:40" s="131" customFormat="1" outlineLevel="2" x14ac:dyDescent="0.2">
      <c r="A260" s="195" t="s">
        <v>213</v>
      </c>
      <c r="B260" s="218" t="s">
        <v>641</v>
      </c>
      <c r="C260" s="200" t="s">
        <v>642</v>
      </c>
      <c r="D260" s="201" t="s">
        <v>643</v>
      </c>
      <c r="E260" s="201">
        <f t="shared" si="12"/>
        <v>1</v>
      </c>
      <c r="F260" s="202">
        <v>0.08</v>
      </c>
      <c r="G260" s="202">
        <f>F260*E260</f>
        <v>0.08</v>
      </c>
      <c r="H260" s="203" t="s">
        <v>126</v>
      </c>
      <c r="I260" s="204"/>
      <c r="J260" s="205"/>
      <c r="AN260" s="131">
        <v>4</v>
      </c>
    </row>
    <row r="261" spans="1:40" s="131" customFormat="1" outlineLevel="2" x14ac:dyDescent="0.2">
      <c r="A261" s="195" t="s">
        <v>213</v>
      </c>
      <c r="B261" s="218" t="s">
        <v>644</v>
      </c>
      <c r="C261" s="200" t="s">
        <v>645</v>
      </c>
      <c r="D261" s="201" t="s">
        <v>646</v>
      </c>
      <c r="E261" s="201">
        <f t="shared" si="12"/>
        <v>1</v>
      </c>
      <c r="F261" s="202">
        <v>0.12</v>
      </c>
      <c r="G261" s="202">
        <f>F261*E261</f>
        <v>0.12</v>
      </c>
      <c r="H261" s="203" t="s">
        <v>126</v>
      </c>
      <c r="I261" s="204"/>
      <c r="J261" s="205"/>
      <c r="AN261" s="131">
        <v>4</v>
      </c>
    </row>
    <row r="262" spans="1:40" s="131" customFormat="1" outlineLevel="2" x14ac:dyDescent="0.2">
      <c r="A262" s="195" t="s">
        <v>213</v>
      </c>
      <c r="B262" s="218" t="s">
        <v>647</v>
      </c>
      <c r="C262" s="200" t="s">
        <v>648</v>
      </c>
      <c r="D262" s="201" t="s">
        <v>649</v>
      </c>
      <c r="E262" s="201">
        <f t="shared" si="12"/>
        <v>1</v>
      </c>
      <c r="F262" s="202">
        <v>0.02</v>
      </c>
      <c r="G262" s="202">
        <f>F262*E262</f>
        <v>0.02</v>
      </c>
      <c r="H262" s="203" t="s">
        <v>126</v>
      </c>
      <c r="I262" s="204"/>
      <c r="J262" s="205"/>
      <c r="AN262" s="131">
        <v>4</v>
      </c>
    </row>
    <row r="263" spans="1:40" s="131" customFormat="1" outlineLevel="1" x14ac:dyDescent="0.2">
      <c r="A263" s="195" t="s">
        <v>237</v>
      </c>
      <c r="B263" s="218" t="s">
        <v>205</v>
      </c>
      <c r="C263" s="196" t="s">
        <v>650</v>
      </c>
      <c r="D263" s="197" t="s">
        <v>634</v>
      </c>
      <c r="E263" s="197">
        <f t="shared" si="12"/>
        <v>1</v>
      </c>
      <c r="F263" s="207"/>
      <c r="G263" s="207" t="str">
        <f>""</f>
        <v/>
      </c>
      <c r="H263" s="195"/>
      <c r="I263" s="198"/>
      <c r="J263" s="199"/>
      <c r="AN263" s="131">
        <v>3</v>
      </c>
    </row>
    <row r="264" spans="1:40" s="131" customFormat="1" outlineLevel="2" x14ac:dyDescent="0.2">
      <c r="A264" s="195" t="s">
        <v>213</v>
      </c>
      <c r="B264" s="218" t="s">
        <v>651</v>
      </c>
      <c r="C264" s="200" t="s">
        <v>652</v>
      </c>
      <c r="D264" s="201" t="s">
        <v>637</v>
      </c>
      <c r="E264" s="201">
        <f t="shared" si="12"/>
        <v>1</v>
      </c>
      <c r="F264" s="202">
        <v>0.23</v>
      </c>
      <c r="G264" s="202">
        <f>F264*E264</f>
        <v>0.23</v>
      </c>
      <c r="H264" s="203" t="s">
        <v>126</v>
      </c>
      <c r="I264" s="204"/>
      <c r="J264" s="205"/>
      <c r="AN264" s="131">
        <v>4</v>
      </c>
    </row>
    <row r="265" spans="1:40" s="131" customFormat="1" outlineLevel="2" x14ac:dyDescent="0.2">
      <c r="A265" s="195" t="s">
        <v>213</v>
      </c>
      <c r="B265" s="218" t="s">
        <v>653</v>
      </c>
      <c r="C265" s="200" t="s">
        <v>639</v>
      </c>
      <c r="D265" s="201" t="s">
        <v>640</v>
      </c>
      <c r="E265" s="201">
        <f t="shared" si="12"/>
        <v>1</v>
      </c>
      <c r="F265" s="202">
        <v>0.08</v>
      </c>
      <c r="G265" s="202">
        <f>F265*E265</f>
        <v>0.08</v>
      </c>
      <c r="H265" s="203" t="s">
        <v>126</v>
      </c>
      <c r="I265" s="204"/>
      <c r="J265" s="205"/>
      <c r="AN265" s="131">
        <v>4</v>
      </c>
    </row>
    <row r="266" spans="1:40" s="131" customFormat="1" outlineLevel="2" x14ac:dyDescent="0.2">
      <c r="A266" s="195" t="s">
        <v>213</v>
      </c>
      <c r="B266" s="218" t="s">
        <v>654</v>
      </c>
      <c r="C266" s="200" t="s">
        <v>642</v>
      </c>
      <c r="D266" s="201" t="s">
        <v>643</v>
      </c>
      <c r="E266" s="201">
        <f t="shared" si="12"/>
        <v>1</v>
      </c>
      <c r="F266" s="202">
        <v>0.08</v>
      </c>
      <c r="G266" s="202">
        <f>F266*E266</f>
        <v>0.08</v>
      </c>
      <c r="H266" s="203" t="s">
        <v>126</v>
      </c>
      <c r="I266" s="204"/>
      <c r="J266" s="205"/>
      <c r="AN266" s="131">
        <v>4</v>
      </c>
    </row>
    <row r="267" spans="1:40" s="131" customFormat="1" outlineLevel="2" x14ac:dyDescent="0.2">
      <c r="A267" s="195" t="s">
        <v>213</v>
      </c>
      <c r="B267" s="218" t="s">
        <v>655</v>
      </c>
      <c r="C267" s="200" t="s">
        <v>656</v>
      </c>
      <c r="D267" s="201" t="s">
        <v>646</v>
      </c>
      <c r="E267" s="201">
        <f t="shared" si="12"/>
        <v>1</v>
      </c>
      <c r="F267" s="202">
        <v>0.12</v>
      </c>
      <c r="G267" s="202">
        <f>F267*E267</f>
        <v>0.12</v>
      </c>
      <c r="H267" s="203" t="s">
        <v>126</v>
      </c>
      <c r="I267" s="204"/>
      <c r="J267" s="205"/>
      <c r="AN267" s="131">
        <v>4</v>
      </c>
    </row>
    <row r="268" spans="1:40" s="131" customFormat="1" outlineLevel="2" x14ac:dyDescent="0.2">
      <c r="A268" s="195" t="s">
        <v>213</v>
      </c>
      <c r="B268" s="218" t="s">
        <v>657</v>
      </c>
      <c r="C268" s="200" t="s">
        <v>648</v>
      </c>
      <c r="D268" s="201" t="s">
        <v>649</v>
      </c>
      <c r="E268" s="201">
        <f t="shared" si="12"/>
        <v>1</v>
      </c>
      <c r="F268" s="202">
        <v>0.02</v>
      </c>
      <c r="G268" s="202">
        <f>F268*E268</f>
        <v>0.02</v>
      </c>
      <c r="H268" s="203" t="s">
        <v>126</v>
      </c>
      <c r="I268" s="204"/>
      <c r="J268" s="205"/>
      <c r="AN268" s="131">
        <v>4</v>
      </c>
    </row>
    <row r="269" spans="1:40" s="131" customFormat="1" outlineLevel="1" x14ac:dyDescent="0.2">
      <c r="A269" s="195" t="s">
        <v>237</v>
      </c>
      <c r="B269" s="218" t="s">
        <v>206</v>
      </c>
      <c r="C269" s="196" t="s">
        <v>658</v>
      </c>
      <c r="D269" s="197" t="s">
        <v>659</v>
      </c>
      <c r="E269" s="197">
        <f t="shared" si="12"/>
        <v>1</v>
      </c>
      <c r="F269" s="207"/>
      <c r="G269" s="207" t="str">
        <f>""</f>
        <v/>
      </c>
      <c r="H269" s="195"/>
      <c r="I269" s="198"/>
      <c r="J269" s="199"/>
      <c r="AN269" s="131">
        <v>3</v>
      </c>
    </row>
    <row r="270" spans="1:40" s="131" customFormat="1" outlineLevel="2" x14ac:dyDescent="0.2">
      <c r="A270" s="195" t="s">
        <v>213</v>
      </c>
      <c r="B270" s="218" t="s">
        <v>660</v>
      </c>
      <c r="C270" s="200" t="s">
        <v>661</v>
      </c>
      <c r="D270" s="201" t="s">
        <v>662</v>
      </c>
      <c r="E270" s="201">
        <f t="shared" si="12"/>
        <v>1</v>
      </c>
      <c r="F270" s="202">
        <v>0.47</v>
      </c>
      <c r="G270" s="202">
        <f t="shared" ref="G270:G295" si="13">F270*E270</f>
        <v>0.47</v>
      </c>
      <c r="H270" s="203" t="s">
        <v>126</v>
      </c>
      <c r="I270" s="204"/>
      <c r="J270" s="205"/>
      <c r="AN270" s="131">
        <v>4</v>
      </c>
    </row>
    <row r="271" spans="1:40" s="131" customFormat="1" outlineLevel="2" x14ac:dyDescent="0.2">
      <c r="A271" s="195" t="s">
        <v>213</v>
      </c>
      <c r="B271" s="218" t="s">
        <v>663</v>
      </c>
      <c r="C271" s="200" t="s">
        <v>664</v>
      </c>
      <c r="D271" s="201" t="s">
        <v>665</v>
      </c>
      <c r="E271" s="201">
        <f>2*1</f>
        <v>2</v>
      </c>
      <c r="F271" s="202">
        <v>0.86</v>
      </c>
      <c r="G271" s="202">
        <f t="shared" si="13"/>
        <v>1.72</v>
      </c>
      <c r="H271" s="203" t="s">
        <v>126</v>
      </c>
      <c r="I271" s="204"/>
      <c r="J271" s="205"/>
      <c r="AN271" s="131">
        <v>4</v>
      </c>
    </row>
    <row r="272" spans="1:40" s="131" customFormat="1" outlineLevel="2" x14ac:dyDescent="0.2">
      <c r="A272" s="195" t="s">
        <v>213</v>
      </c>
      <c r="B272" s="218" t="s">
        <v>666</v>
      </c>
      <c r="C272" s="200" t="s">
        <v>667</v>
      </c>
      <c r="D272" s="201" t="s">
        <v>668</v>
      </c>
      <c r="E272" s="201">
        <f>2*1</f>
        <v>2</v>
      </c>
      <c r="F272" s="202">
        <v>0.01</v>
      </c>
      <c r="G272" s="202">
        <f t="shared" si="13"/>
        <v>0.02</v>
      </c>
      <c r="H272" s="203" t="s">
        <v>126</v>
      </c>
      <c r="I272" s="204"/>
      <c r="J272" s="205"/>
      <c r="AN272" s="131">
        <v>4</v>
      </c>
    </row>
    <row r="273" spans="1:40" s="131" customFormat="1" outlineLevel="2" x14ac:dyDescent="0.2">
      <c r="A273" s="195" t="s">
        <v>213</v>
      </c>
      <c r="B273" s="218" t="s">
        <v>669</v>
      </c>
      <c r="C273" s="200" t="s">
        <v>670</v>
      </c>
      <c r="D273" s="201" t="s">
        <v>671</v>
      </c>
      <c r="E273" s="201">
        <f>1*1</f>
        <v>1</v>
      </c>
      <c r="F273" s="202">
        <v>0.24</v>
      </c>
      <c r="G273" s="202">
        <f t="shared" si="13"/>
        <v>0.24</v>
      </c>
      <c r="H273" s="203" t="s">
        <v>126</v>
      </c>
      <c r="I273" s="204"/>
      <c r="J273" s="205"/>
      <c r="AN273" s="131">
        <v>4</v>
      </c>
    </row>
    <row r="274" spans="1:40" s="131" customFormat="1" outlineLevel="2" x14ac:dyDescent="0.2">
      <c r="A274" s="195" t="s">
        <v>213</v>
      </c>
      <c r="B274" s="218" t="s">
        <v>672</v>
      </c>
      <c r="C274" s="200" t="s">
        <v>673</v>
      </c>
      <c r="D274" s="201" t="s">
        <v>299</v>
      </c>
      <c r="E274" s="201">
        <f>2*1</f>
        <v>2</v>
      </c>
      <c r="F274" s="202">
        <v>0.02</v>
      </c>
      <c r="G274" s="202">
        <f t="shared" si="13"/>
        <v>0.04</v>
      </c>
      <c r="H274" s="203" t="s">
        <v>126</v>
      </c>
      <c r="I274" s="204"/>
      <c r="J274" s="205"/>
      <c r="AN274" s="131">
        <v>4</v>
      </c>
    </row>
    <row r="275" spans="1:40" s="131" customFormat="1" x14ac:dyDescent="0.2">
      <c r="A275" s="195" t="s">
        <v>237</v>
      </c>
      <c r="B275" s="222" t="s">
        <v>206</v>
      </c>
      <c r="C275" s="196" t="s">
        <v>853</v>
      </c>
      <c r="D275" s="197" t="s">
        <v>659</v>
      </c>
      <c r="E275" s="197">
        <v>1</v>
      </c>
      <c r="F275" s="197"/>
      <c r="G275" s="197"/>
      <c r="H275" s="195"/>
      <c r="I275" s="198" t="s">
        <v>842</v>
      </c>
      <c r="J275" s="199"/>
      <c r="AN275" s="131">
        <v>3</v>
      </c>
    </row>
    <row r="276" spans="1:40" s="131" customFormat="1" x14ac:dyDescent="0.2">
      <c r="A276" s="195" t="s">
        <v>213</v>
      </c>
      <c r="B276" s="222" t="s">
        <v>660</v>
      </c>
      <c r="C276" s="200" t="s">
        <v>661</v>
      </c>
      <c r="D276" s="201" t="s">
        <v>662</v>
      </c>
      <c r="E276" s="201">
        <v>1</v>
      </c>
      <c r="F276" s="202">
        <v>0.47</v>
      </c>
      <c r="G276" s="202">
        <f>F276*E276</f>
        <v>0.47</v>
      </c>
      <c r="H276" s="203" t="s">
        <v>126</v>
      </c>
      <c r="I276" s="198" t="s">
        <v>842</v>
      </c>
      <c r="J276" s="205"/>
      <c r="AN276" s="131">
        <v>4</v>
      </c>
    </row>
    <row r="277" spans="1:40" s="131" customFormat="1" x14ac:dyDescent="0.2">
      <c r="A277" s="195" t="s">
        <v>213</v>
      </c>
      <c r="B277" s="222" t="s">
        <v>663</v>
      </c>
      <c r="C277" s="200" t="s">
        <v>854</v>
      </c>
      <c r="D277" s="201" t="s">
        <v>665</v>
      </c>
      <c r="E277" s="201">
        <v>2</v>
      </c>
      <c r="F277" s="202">
        <v>0.86</v>
      </c>
      <c r="G277" s="202">
        <f>F277*E277</f>
        <v>1.72</v>
      </c>
      <c r="H277" s="203" t="s">
        <v>126</v>
      </c>
      <c r="I277" s="198" t="s">
        <v>842</v>
      </c>
      <c r="J277" s="205"/>
      <c r="AN277" s="131">
        <v>4</v>
      </c>
    </row>
    <row r="278" spans="1:40" s="131" customFormat="1" x14ac:dyDescent="0.2">
      <c r="A278" s="195" t="s">
        <v>213</v>
      </c>
      <c r="B278" s="222" t="s">
        <v>666</v>
      </c>
      <c r="C278" s="200" t="s">
        <v>670</v>
      </c>
      <c r="D278" s="201" t="s">
        <v>671</v>
      </c>
      <c r="E278" s="201">
        <v>1</v>
      </c>
      <c r="F278" s="202">
        <v>0.24</v>
      </c>
      <c r="G278" s="202">
        <f>F278*E278</f>
        <v>0.24</v>
      </c>
      <c r="H278" s="203" t="s">
        <v>126</v>
      </c>
      <c r="I278" s="198" t="s">
        <v>842</v>
      </c>
      <c r="J278" s="205"/>
      <c r="AN278" s="131">
        <v>4</v>
      </c>
    </row>
    <row r="279" spans="1:40" s="131" customFormat="1" x14ac:dyDescent="0.2">
      <c r="A279" s="195" t="s">
        <v>213</v>
      </c>
      <c r="B279" s="222" t="s">
        <v>669</v>
      </c>
      <c r="C279" s="200" t="s">
        <v>673</v>
      </c>
      <c r="D279" s="201" t="s">
        <v>299</v>
      </c>
      <c r="E279" s="201">
        <v>2</v>
      </c>
      <c r="F279" s="202">
        <v>0.02</v>
      </c>
      <c r="G279" s="202">
        <f>F279*E279</f>
        <v>0.04</v>
      </c>
      <c r="H279" s="203" t="s">
        <v>126</v>
      </c>
      <c r="I279" s="198" t="s">
        <v>842</v>
      </c>
      <c r="J279" s="205"/>
      <c r="AN279" s="131">
        <v>4</v>
      </c>
    </row>
    <row r="280" spans="1:40" s="131" customFormat="1" outlineLevel="1" x14ac:dyDescent="0.2">
      <c r="A280" s="195" t="s">
        <v>213</v>
      </c>
      <c r="B280" s="218" t="s">
        <v>207</v>
      </c>
      <c r="C280" s="208" t="s">
        <v>163</v>
      </c>
      <c r="D280" s="206" t="s">
        <v>164</v>
      </c>
      <c r="E280" s="206">
        <f>1*1</f>
        <v>1</v>
      </c>
      <c r="F280" s="209">
        <v>0.05</v>
      </c>
      <c r="G280" s="209">
        <f t="shared" si="13"/>
        <v>0.05</v>
      </c>
      <c r="H280" s="210">
        <v>1.4300999999999999</v>
      </c>
      <c r="I280" s="211"/>
      <c r="J280" s="212"/>
      <c r="AN280" s="131">
        <v>3</v>
      </c>
    </row>
    <row r="281" spans="1:40" s="131" customFormat="1" outlineLevel="1" x14ac:dyDescent="0.2">
      <c r="A281" s="195" t="s">
        <v>213</v>
      </c>
      <c r="B281" s="218" t="s">
        <v>208</v>
      </c>
      <c r="C281" s="208" t="s">
        <v>674</v>
      </c>
      <c r="D281" s="206" t="s">
        <v>675</v>
      </c>
      <c r="E281" s="206">
        <f>2*1</f>
        <v>2</v>
      </c>
      <c r="F281" s="209">
        <v>0.02</v>
      </c>
      <c r="G281" s="209">
        <f t="shared" si="13"/>
        <v>0.04</v>
      </c>
      <c r="H281" s="210">
        <v>1.4300999999999999</v>
      </c>
      <c r="I281" s="211"/>
      <c r="J281" s="212"/>
      <c r="AN281" s="131">
        <v>3</v>
      </c>
    </row>
    <row r="282" spans="1:40" s="131" customFormat="1" outlineLevel="1" x14ac:dyDescent="0.2">
      <c r="A282" s="195" t="s">
        <v>213</v>
      </c>
      <c r="B282" s="218" t="s">
        <v>210</v>
      </c>
      <c r="C282" s="208" t="s">
        <v>677</v>
      </c>
      <c r="D282" s="206" t="s">
        <v>678</v>
      </c>
      <c r="E282" s="206">
        <f>1*1</f>
        <v>1</v>
      </c>
      <c r="F282" s="209">
        <v>0.03</v>
      </c>
      <c r="G282" s="209">
        <f t="shared" si="13"/>
        <v>0.03</v>
      </c>
      <c r="H282" s="210">
        <v>1.4300999999999999</v>
      </c>
      <c r="I282" s="211"/>
      <c r="J282" s="212"/>
      <c r="AN282" s="131">
        <v>3</v>
      </c>
    </row>
    <row r="283" spans="1:40" s="131" customFormat="1" outlineLevel="1" x14ac:dyDescent="0.2">
      <c r="A283" s="195" t="s">
        <v>213</v>
      </c>
      <c r="B283" s="218" t="s">
        <v>209</v>
      </c>
      <c r="C283" s="208" t="s">
        <v>676</v>
      </c>
      <c r="D283" s="206" t="s">
        <v>852</v>
      </c>
      <c r="E283" s="206">
        <f>1*1</f>
        <v>1</v>
      </c>
      <c r="F283" s="209">
        <v>0.05</v>
      </c>
      <c r="G283" s="209">
        <f t="shared" ref="G283" si="14">F283*E283</f>
        <v>0.05</v>
      </c>
      <c r="H283" s="210">
        <v>1.4300999999999999</v>
      </c>
      <c r="I283" s="211" t="s">
        <v>851</v>
      </c>
      <c r="J283" s="212"/>
      <c r="AN283" s="131">
        <v>3</v>
      </c>
    </row>
    <row r="284" spans="1:40" s="131" customFormat="1" outlineLevel="1" x14ac:dyDescent="0.2">
      <c r="A284" s="195" t="s">
        <v>213</v>
      </c>
      <c r="B284" s="218" t="s">
        <v>211</v>
      </c>
      <c r="C284" s="208" t="s">
        <v>679</v>
      </c>
      <c r="D284" s="206" t="s">
        <v>680</v>
      </c>
      <c r="E284" s="206">
        <f>1*1</f>
        <v>1</v>
      </c>
      <c r="F284" s="209">
        <v>0.03</v>
      </c>
      <c r="G284" s="209">
        <f t="shared" si="13"/>
        <v>0.03</v>
      </c>
      <c r="H284" s="210">
        <v>1.4300999999999999</v>
      </c>
      <c r="I284" s="211"/>
      <c r="J284" s="212"/>
      <c r="AN284" s="131">
        <v>3</v>
      </c>
    </row>
    <row r="285" spans="1:40" s="131" customFormat="1" outlineLevel="1" x14ac:dyDescent="0.2">
      <c r="A285" s="195" t="s">
        <v>213</v>
      </c>
      <c r="B285" s="218" t="s">
        <v>212</v>
      </c>
      <c r="C285" s="208" t="s">
        <v>681</v>
      </c>
      <c r="D285" s="206" t="s">
        <v>682</v>
      </c>
      <c r="E285" s="206">
        <f>2*1</f>
        <v>2</v>
      </c>
      <c r="F285" s="209">
        <v>0.04</v>
      </c>
      <c r="G285" s="209">
        <f t="shared" si="13"/>
        <v>0.08</v>
      </c>
      <c r="H285" s="210">
        <v>1.4300999999999999</v>
      </c>
      <c r="I285" s="211"/>
      <c r="J285" s="212"/>
      <c r="AN285" s="131">
        <v>3</v>
      </c>
    </row>
    <row r="286" spans="1:40" s="131" customFormat="1" outlineLevel="1" x14ac:dyDescent="0.2">
      <c r="A286" s="195" t="s">
        <v>213</v>
      </c>
      <c r="B286" s="218" t="s">
        <v>357</v>
      </c>
      <c r="C286" s="208" t="s">
        <v>683</v>
      </c>
      <c r="D286" s="206" t="s">
        <v>684</v>
      </c>
      <c r="E286" s="206">
        <f>1*1</f>
        <v>1</v>
      </c>
      <c r="F286" s="209">
        <v>0.13</v>
      </c>
      <c r="G286" s="209">
        <f t="shared" si="13"/>
        <v>0.13</v>
      </c>
      <c r="H286" s="210">
        <v>1.4300999999999999</v>
      </c>
      <c r="I286" s="211"/>
      <c r="J286" s="212"/>
      <c r="AN286" s="131">
        <v>3</v>
      </c>
    </row>
    <row r="287" spans="1:40" s="131" customFormat="1" outlineLevel="1" x14ac:dyDescent="0.2">
      <c r="A287" s="195" t="s">
        <v>213</v>
      </c>
      <c r="B287" s="218" t="s">
        <v>415</v>
      </c>
      <c r="C287" s="208" t="s">
        <v>408</v>
      </c>
      <c r="D287" s="206" t="s">
        <v>409</v>
      </c>
      <c r="E287" s="206">
        <f>1*1</f>
        <v>1</v>
      </c>
      <c r="F287" s="209">
        <v>0.02</v>
      </c>
      <c r="G287" s="209">
        <f t="shared" si="13"/>
        <v>0.02</v>
      </c>
      <c r="H287" s="210">
        <v>1.4300999999999999</v>
      </c>
      <c r="I287" s="211"/>
      <c r="J287" s="212"/>
      <c r="AN287" s="131">
        <v>3</v>
      </c>
    </row>
    <row r="288" spans="1:40" s="131" customFormat="1" outlineLevel="1" x14ac:dyDescent="0.2">
      <c r="A288" s="195" t="s">
        <v>213</v>
      </c>
      <c r="B288" s="218" t="s">
        <v>416</v>
      </c>
      <c r="C288" s="208" t="s">
        <v>410</v>
      </c>
      <c r="D288" s="206" t="s">
        <v>411</v>
      </c>
      <c r="E288" s="206">
        <f>1*1</f>
        <v>1</v>
      </c>
      <c r="F288" s="209">
        <v>0.01</v>
      </c>
      <c r="G288" s="209">
        <f t="shared" si="13"/>
        <v>0.01</v>
      </c>
      <c r="H288" s="210">
        <v>1.4300999999999999</v>
      </c>
      <c r="I288" s="211"/>
      <c r="J288" s="212"/>
      <c r="AN288" s="131">
        <v>3</v>
      </c>
    </row>
    <row r="289" spans="1:40" s="131" customFormat="1" outlineLevel="1" x14ac:dyDescent="0.2">
      <c r="A289" s="195" t="s">
        <v>213</v>
      </c>
      <c r="B289" s="218" t="s">
        <v>685</v>
      </c>
      <c r="C289" s="208" t="s">
        <v>165</v>
      </c>
      <c r="D289" s="206" t="s">
        <v>166</v>
      </c>
      <c r="E289" s="206">
        <f>1*1</f>
        <v>1</v>
      </c>
      <c r="F289" s="209">
        <v>0.02</v>
      </c>
      <c r="G289" s="209">
        <f t="shared" si="13"/>
        <v>0.02</v>
      </c>
      <c r="H289" s="210">
        <v>1.4300999999999999</v>
      </c>
      <c r="I289" s="211"/>
      <c r="J289" s="212"/>
      <c r="AN289" s="131">
        <v>3</v>
      </c>
    </row>
    <row r="290" spans="1:40" s="131" customFormat="1" outlineLevel="1" x14ac:dyDescent="0.2">
      <c r="A290" s="195" t="s">
        <v>213</v>
      </c>
      <c r="B290" s="218" t="s">
        <v>686</v>
      </c>
      <c r="C290" s="208" t="s">
        <v>687</v>
      </c>
      <c r="D290" s="206" t="s">
        <v>688</v>
      </c>
      <c r="E290" s="206">
        <f>6*1</f>
        <v>6</v>
      </c>
      <c r="F290" s="209">
        <v>0</v>
      </c>
      <c r="G290" s="209">
        <f t="shared" si="13"/>
        <v>0</v>
      </c>
      <c r="H290" s="210" t="s">
        <v>167</v>
      </c>
      <c r="I290" s="211"/>
      <c r="J290" s="212"/>
      <c r="AN290" s="131">
        <v>3</v>
      </c>
    </row>
    <row r="291" spans="1:40" s="131" customFormat="1" outlineLevel="1" x14ac:dyDescent="0.2">
      <c r="A291" s="195" t="s">
        <v>213</v>
      </c>
      <c r="B291" s="218" t="s">
        <v>689</v>
      </c>
      <c r="C291" s="208" t="s">
        <v>690</v>
      </c>
      <c r="D291" s="206" t="s">
        <v>691</v>
      </c>
      <c r="E291" s="206">
        <f>4*1</f>
        <v>4</v>
      </c>
      <c r="F291" s="209">
        <v>0</v>
      </c>
      <c r="G291" s="209">
        <f t="shared" si="13"/>
        <v>0</v>
      </c>
      <c r="H291" s="210" t="s">
        <v>167</v>
      </c>
      <c r="I291" s="211"/>
      <c r="J291" s="212"/>
      <c r="AN291" s="131">
        <v>3</v>
      </c>
    </row>
    <row r="292" spans="1:40" s="131" customFormat="1" outlineLevel="1" x14ac:dyDescent="0.2">
      <c r="A292" s="195" t="s">
        <v>213</v>
      </c>
      <c r="B292" s="218" t="s">
        <v>692</v>
      </c>
      <c r="C292" s="208" t="s">
        <v>168</v>
      </c>
      <c r="D292" s="206" t="s">
        <v>169</v>
      </c>
      <c r="E292" s="206">
        <f>2*1</f>
        <v>2</v>
      </c>
      <c r="F292" s="209">
        <v>0</v>
      </c>
      <c r="G292" s="209">
        <f t="shared" si="13"/>
        <v>0</v>
      </c>
      <c r="H292" s="210" t="s">
        <v>167</v>
      </c>
      <c r="I292" s="211"/>
      <c r="J292" s="212"/>
      <c r="AN292" s="131">
        <v>3</v>
      </c>
    </row>
    <row r="293" spans="1:40" s="131" customFormat="1" outlineLevel="1" x14ac:dyDescent="0.2">
      <c r="A293" s="195" t="s">
        <v>213</v>
      </c>
      <c r="B293" s="218" t="s">
        <v>693</v>
      </c>
      <c r="C293" s="208" t="s">
        <v>694</v>
      </c>
      <c r="D293" s="206" t="s">
        <v>695</v>
      </c>
      <c r="E293" s="206">
        <f>2*1</f>
        <v>2</v>
      </c>
      <c r="F293" s="209">
        <v>0</v>
      </c>
      <c r="G293" s="209">
        <f t="shared" si="13"/>
        <v>0</v>
      </c>
      <c r="H293" s="210" t="s">
        <v>167</v>
      </c>
      <c r="I293" s="211"/>
      <c r="J293" s="212"/>
      <c r="AN293" s="131">
        <v>3</v>
      </c>
    </row>
    <row r="294" spans="1:40" s="131" customFormat="1" outlineLevel="1" x14ac:dyDescent="0.2">
      <c r="A294" s="195" t="s">
        <v>213</v>
      </c>
      <c r="B294" s="218" t="s">
        <v>696</v>
      </c>
      <c r="C294" s="208" t="s">
        <v>697</v>
      </c>
      <c r="D294" s="206" t="s">
        <v>698</v>
      </c>
      <c r="E294" s="206">
        <f>8*1</f>
        <v>8</v>
      </c>
      <c r="F294" s="209">
        <v>0</v>
      </c>
      <c r="G294" s="209">
        <f t="shared" si="13"/>
        <v>0</v>
      </c>
      <c r="H294" s="210" t="s">
        <v>167</v>
      </c>
      <c r="I294" s="211"/>
      <c r="J294" s="212"/>
      <c r="AN294" s="131">
        <v>3</v>
      </c>
    </row>
    <row r="295" spans="1:40" s="131" customFormat="1" outlineLevel="1" x14ac:dyDescent="0.2">
      <c r="A295" s="195" t="s">
        <v>213</v>
      </c>
      <c r="B295" s="218" t="s">
        <v>699</v>
      </c>
      <c r="C295" s="208" t="s">
        <v>700</v>
      </c>
      <c r="D295" s="206" t="s">
        <v>701</v>
      </c>
      <c r="E295" s="206">
        <f>2*1</f>
        <v>2</v>
      </c>
      <c r="F295" s="209">
        <v>0</v>
      </c>
      <c r="G295" s="209">
        <f t="shared" si="13"/>
        <v>0</v>
      </c>
      <c r="H295" s="210" t="s">
        <v>167</v>
      </c>
      <c r="I295" s="211"/>
      <c r="J295" s="212"/>
      <c r="AN295" s="131">
        <v>3</v>
      </c>
    </row>
    <row r="296" spans="1:40" s="131" customFormat="1" outlineLevel="1" x14ac:dyDescent="0.2">
      <c r="A296" s="195" t="s">
        <v>237</v>
      </c>
      <c r="B296" s="218" t="s">
        <v>702</v>
      </c>
      <c r="C296" s="196" t="s">
        <v>703</v>
      </c>
      <c r="D296" s="197" t="s">
        <v>704</v>
      </c>
      <c r="E296" s="197">
        <f>1*1</f>
        <v>1</v>
      </c>
      <c r="F296" s="207"/>
      <c r="G296" s="207" t="str">
        <f>""</f>
        <v/>
      </c>
      <c r="H296" s="195"/>
      <c r="I296" s="198"/>
      <c r="J296" s="199"/>
      <c r="AN296" s="131">
        <v>3</v>
      </c>
    </row>
    <row r="297" spans="1:40" s="131" customFormat="1" outlineLevel="2" x14ac:dyDescent="0.2">
      <c r="A297" s="195" t="s">
        <v>213</v>
      </c>
      <c r="B297" s="218" t="s">
        <v>705</v>
      </c>
      <c r="C297" s="200" t="s">
        <v>706</v>
      </c>
      <c r="D297" s="201" t="s">
        <v>707</v>
      </c>
      <c r="E297" s="201">
        <f>1*1</f>
        <v>1</v>
      </c>
      <c r="F297" s="202">
        <v>1.06</v>
      </c>
      <c r="G297" s="202">
        <f>F297*E297</f>
        <v>1.06</v>
      </c>
      <c r="H297" s="203" t="s">
        <v>126</v>
      </c>
      <c r="I297" s="204"/>
      <c r="J297" s="205"/>
      <c r="AN297" s="131">
        <v>4</v>
      </c>
    </row>
    <row r="298" spans="1:40" s="131" customFormat="1" outlineLevel="2" x14ac:dyDescent="0.2">
      <c r="A298" s="195" t="s">
        <v>213</v>
      </c>
      <c r="B298" s="218" t="s">
        <v>708</v>
      </c>
      <c r="C298" s="200" t="s">
        <v>709</v>
      </c>
      <c r="D298" s="201" t="s">
        <v>710</v>
      </c>
      <c r="E298" s="201">
        <f>2*1</f>
        <v>2</v>
      </c>
      <c r="F298" s="202">
        <v>0</v>
      </c>
      <c r="G298" s="202">
        <f>F298*E298</f>
        <v>0</v>
      </c>
      <c r="H298" s="203" t="s">
        <v>126</v>
      </c>
      <c r="I298" s="204"/>
      <c r="J298" s="205"/>
      <c r="AN298" s="131">
        <v>4</v>
      </c>
    </row>
    <row r="299" spans="1:40" s="131" customFormat="1" outlineLevel="1" x14ac:dyDescent="0.2">
      <c r="A299" s="195" t="s">
        <v>213</v>
      </c>
      <c r="B299" s="218" t="s">
        <v>711</v>
      </c>
      <c r="C299" s="208" t="s">
        <v>712</v>
      </c>
      <c r="D299" s="206" t="s">
        <v>713</v>
      </c>
      <c r="E299" s="206">
        <f>4*1</f>
        <v>4</v>
      </c>
      <c r="F299" s="209">
        <v>0.15</v>
      </c>
      <c r="G299" s="209">
        <f>F299*E299</f>
        <v>0.6</v>
      </c>
      <c r="H299" s="210" t="s">
        <v>126</v>
      </c>
      <c r="I299" s="211"/>
      <c r="J299" s="212"/>
      <c r="AN299" s="131">
        <v>3</v>
      </c>
    </row>
    <row r="300" spans="1:40" s="131" customFormat="1" outlineLevel="1" x14ac:dyDescent="0.2">
      <c r="A300" s="195" t="s">
        <v>213</v>
      </c>
      <c r="B300" s="218" t="s">
        <v>714</v>
      </c>
      <c r="C300" s="208" t="s">
        <v>715</v>
      </c>
      <c r="D300" s="206" t="s">
        <v>716</v>
      </c>
      <c r="E300" s="206">
        <f>1*1</f>
        <v>1</v>
      </c>
      <c r="F300" s="209">
        <v>0.04</v>
      </c>
      <c r="G300" s="209">
        <f>F300*E300</f>
        <v>0.04</v>
      </c>
      <c r="H300" s="210">
        <v>1.4300999999999999</v>
      </c>
      <c r="I300" s="211" t="s">
        <v>851</v>
      </c>
      <c r="J300" s="212"/>
      <c r="AN300" s="131">
        <v>3</v>
      </c>
    </row>
    <row r="301" spans="1:40" s="131" customFormat="1" outlineLevel="1" x14ac:dyDescent="0.2">
      <c r="A301" s="195" t="s">
        <v>237</v>
      </c>
      <c r="B301" s="218" t="s">
        <v>717</v>
      </c>
      <c r="C301" s="196" t="s">
        <v>718</v>
      </c>
      <c r="D301" s="197" t="s">
        <v>719</v>
      </c>
      <c r="E301" s="197">
        <f>1*1</f>
        <v>1</v>
      </c>
      <c r="F301" s="207"/>
      <c r="G301" s="207" t="str">
        <f>""</f>
        <v/>
      </c>
      <c r="H301" s="195"/>
      <c r="I301" s="211" t="s">
        <v>851</v>
      </c>
      <c r="J301" s="199"/>
      <c r="AN301" s="131">
        <v>3</v>
      </c>
    </row>
    <row r="302" spans="1:40" s="131" customFormat="1" outlineLevel="2" x14ac:dyDescent="0.2">
      <c r="A302" s="195" t="s">
        <v>213</v>
      </c>
      <c r="B302" s="218" t="s">
        <v>720</v>
      </c>
      <c r="C302" s="200" t="s">
        <v>721</v>
      </c>
      <c r="D302" s="201" t="s">
        <v>722</v>
      </c>
      <c r="E302" s="201">
        <f>1*1</f>
        <v>1</v>
      </c>
      <c r="F302" s="202">
        <v>0.05</v>
      </c>
      <c r="G302" s="202">
        <f t="shared" ref="G302:G350" si="15">F302*E302</f>
        <v>0.05</v>
      </c>
      <c r="H302" s="203" t="s">
        <v>126</v>
      </c>
      <c r="I302" s="211" t="s">
        <v>851</v>
      </c>
      <c r="J302" s="205"/>
      <c r="AN302" s="131">
        <v>4</v>
      </c>
    </row>
    <row r="303" spans="1:40" s="131" customFormat="1" outlineLevel="2" x14ac:dyDescent="0.2">
      <c r="A303" s="195" t="s">
        <v>213</v>
      </c>
      <c r="B303" s="218" t="s">
        <v>723</v>
      </c>
      <c r="C303" s="200" t="s">
        <v>724</v>
      </c>
      <c r="D303" s="201" t="s">
        <v>725</v>
      </c>
      <c r="E303" s="201">
        <f>2*1</f>
        <v>2</v>
      </c>
      <c r="F303" s="202">
        <v>0.18</v>
      </c>
      <c r="G303" s="202">
        <f t="shared" si="15"/>
        <v>0.36</v>
      </c>
      <c r="H303" s="203" t="s">
        <v>126</v>
      </c>
      <c r="I303" s="211" t="s">
        <v>851</v>
      </c>
      <c r="J303" s="205"/>
      <c r="AN303" s="131">
        <v>4</v>
      </c>
    </row>
    <row r="304" spans="1:40" s="131" customFormat="1" outlineLevel="2" x14ac:dyDescent="0.2">
      <c r="A304" s="195" t="s">
        <v>213</v>
      </c>
      <c r="B304" s="218" t="s">
        <v>726</v>
      </c>
      <c r="C304" s="200" t="s">
        <v>727</v>
      </c>
      <c r="D304" s="201" t="s">
        <v>728</v>
      </c>
      <c r="E304" s="201">
        <f t="shared" ref="E304:E315" si="16">1*1</f>
        <v>1</v>
      </c>
      <c r="F304" s="202">
        <v>0.01</v>
      </c>
      <c r="G304" s="202">
        <f t="shared" si="15"/>
        <v>0.01</v>
      </c>
      <c r="H304" s="203" t="s">
        <v>126</v>
      </c>
      <c r="I304" s="211" t="s">
        <v>851</v>
      </c>
      <c r="J304" s="205"/>
      <c r="AN304" s="131">
        <v>4</v>
      </c>
    </row>
    <row r="305" spans="1:40" s="131" customFormat="1" x14ac:dyDescent="0.2">
      <c r="A305" s="195" t="s">
        <v>237</v>
      </c>
      <c r="B305" s="222" t="s">
        <v>717</v>
      </c>
      <c r="C305" s="196" t="s">
        <v>872</v>
      </c>
      <c r="D305" s="197" t="s">
        <v>719</v>
      </c>
      <c r="E305" s="197">
        <v>1</v>
      </c>
      <c r="F305" s="197"/>
      <c r="G305" s="197"/>
      <c r="H305" s="195"/>
      <c r="I305" s="211" t="s">
        <v>876</v>
      </c>
      <c r="J305" s="199"/>
      <c r="AN305" s="131">
        <v>3</v>
      </c>
    </row>
    <row r="306" spans="1:40" s="131" customFormat="1" x14ac:dyDescent="0.2">
      <c r="A306" s="195" t="s">
        <v>213</v>
      </c>
      <c r="B306" s="222" t="s">
        <v>720</v>
      </c>
      <c r="C306" s="200" t="s">
        <v>873</v>
      </c>
      <c r="D306" s="201" t="s">
        <v>722</v>
      </c>
      <c r="E306" s="201">
        <v>1</v>
      </c>
      <c r="F306" s="202">
        <v>0.05</v>
      </c>
      <c r="G306" s="202">
        <f>F306*E306</f>
        <v>0.05</v>
      </c>
      <c r="H306" s="203">
        <v>1.4300999999999999</v>
      </c>
      <c r="I306" s="211" t="s">
        <v>876</v>
      </c>
      <c r="J306" s="205"/>
      <c r="AN306" s="131">
        <v>4</v>
      </c>
    </row>
    <row r="307" spans="1:40" s="131" customFormat="1" x14ac:dyDescent="0.2">
      <c r="A307" s="195" t="s">
        <v>213</v>
      </c>
      <c r="B307" s="222" t="s">
        <v>723</v>
      </c>
      <c r="C307" s="200" t="s">
        <v>874</v>
      </c>
      <c r="D307" s="201" t="s">
        <v>728</v>
      </c>
      <c r="E307" s="201">
        <v>1</v>
      </c>
      <c r="F307" s="202">
        <v>0.01</v>
      </c>
      <c r="G307" s="202">
        <f>F307*E307</f>
        <v>0.01</v>
      </c>
      <c r="H307" s="203">
        <v>1.4300999999999999</v>
      </c>
      <c r="I307" s="211" t="s">
        <v>876</v>
      </c>
      <c r="J307" s="205"/>
      <c r="AN307" s="131">
        <v>4</v>
      </c>
    </row>
    <row r="308" spans="1:40" s="131" customFormat="1" x14ac:dyDescent="0.2">
      <c r="A308" s="195" t="s">
        <v>213</v>
      </c>
      <c r="B308" s="222" t="s">
        <v>726</v>
      </c>
      <c r="C308" s="200" t="s">
        <v>875</v>
      </c>
      <c r="D308" s="201" t="s">
        <v>725</v>
      </c>
      <c r="E308" s="201">
        <v>2</v>
      </c>
      <c r="F308" s="202">
        <v>0.18</v>
      </c>
      <c r="G308" s="202">
        <f>F308*E308</f>
        <v>0.36</v>
      </c>
      <c r="H308" s="203">
        <v>1.4300999999999999</v>
      </c>
      <c r="I308" s="211" t="s">
        <v>876</v>
      </c>
      <c r="J308" s="205"/>
      <c r="AN308" s="131">
        <v>4</v>
      </c>
    </row>
    <row r="309" spans="1:40" s="131" customFormat="1" outlineLevel="1" x14ac:dyDescent="0.2">
      <c r="A309" s="195" t="s">
        <v>213</v>
      </c>
      <c r="B309" s="218" t="s">
        <v>729</v>
      </c>
      <c r="C309" s="208" t="s">
        <v>730</v>
      </c>
      <c r="D309" s="206" t="s">
        <v>731</v>
      </c>
      <c r="E309" s="206">
        <f t="shared" si="16"/>
        <v>1</v>
      </c>
      <c r="F309" s="209">
        <v>7.0000000000000007E-2</v>
      </c>
      <c r="G309" s="209">
        <f t="shared" si="15"/>
        <v>7.0000000000000007E-2</v>
      </c>
      <c r="H309" s="210" t="s">
        <v>126</v>
      </c>
      <c r="I309" s="211" t="s">
        <v>851</v>
      </c>
      <c r="J309" s="212"/>
      <c r="AN309" s="131">
        <v>3</v>
      </c>
    </row>
    <row r="310" spans="1:40" s="131" customFormat="1" outlineLevel="1" x14ac:dyDescent="0.2">
      <c r="A310" s="195" t="s">
        <v>213</v>
      </c>
      <c r="B310" s="218" t="s">
        <v>732</v>
      </c>
      <c r="C310" s="208" t="s">
        <v>733</v>
      </c>
      <c r="D310" s="206" t="s">
        <v>734</v>
      </c>
      <c r="E310" s="206">
        <f t="shared" si="16"/>
        <v>1</v>
      </c>
      <c r="F310" s="209">
        <v>0.05</v>
      </c>
      <c r="G310" s="209">
        <f t="shared" si="15"/>
        <v>0.05</v>
      </c>
      <c r="H310" s="210">
        <v>1.4300999999999999</v>
      </c>
      <c r="I310" s="211" t="s">
        <v>851</v>
      </c>
      <c r="J310" s="212"/>
      <c r="AN310" s="131">
        <v>3</v>
      </c>
    </row>
    <row r="311" spans="1:40" s="131" customFormat="1" outlineLevel="1" x14ac:dyDescent="0.2">
      <c r="A311" s="195" t="s">
        <v>162</v>
      </c>
      <c r="B311" s="218" t="s">
        <v>735</v>
      </c>
      <c r="C311" s="153" t="s">
        <v>736</v>
      </c>
      <c r="D311" s="154" t="s">
        <v>737</v>
      </c>
      <c r="E311" s="154">
        <f t="shared" si="16"/>
        <v>1</v>
      </c>
      <c r="F311" s="155">
        <v>0.1</v>
      </c>
      <c r="G311" s="155">
        <f t="shared" si="15"/>
        <v>0.1</v>
      </c>
      <c r="H311" s="156"/>
      <c r="I311" s="157"/>
      <c r="J311" s="158"/>
      <c r="AN311" s="131">
        <v>3</v>
      </c>
    </row>
    <row r="312" spans="1:40" s="131" customFormat="1" outlineLevel="1" x14ac:dyDescent="0.2">
      <c r="A312" s="195" t="s">
        <v>162</v>
      </c>
      <c r="B312" s="218" t="s">
        <v>738</v>
      </c>
      <c r="C312" s="153" t="s">
        <v>739</v>
      </c>
      <c r="D312" s="154" t="s">
        <v>740</v>
      </c>
      <c r="E312" s="154">
        <f t="shared" si="16"/>
        <v>1</v>
      </c>
      <c r="F312" s="155">
        <v>0.1</v>
      </c>
      <c r="G312" s="155">
        <f t="shared" si="15"/>
        <v>0.1</v>
      </c>
      <c r="H312" s="156"/>
      <c r="I312" s="157"/>
      <c r="J312" s="158"/>
      <c r="AN312" s="131">
        <v>3</v>
      </c>
    </row>
    <row r="313" spans="1:40" s="131" customFormat="1" ht="25.5" outlineLevel="1" x14ac:dyDescent="0.2">
      <c r="A313" s="195" t="s">
        <v>162</v>
      </c>
      <c r="B313" s="218" t="s">
        <v>741</v>
      </c>
      <c r="C313" s="153"/>
      <c r="D313" s="154" t="s">
        <v>985</v>
      </c>
      <c r="E313" s="154">
        <v>1</v>
      </c>
      <c r="F313" s="155">
        <v>0</v>
      </c>
      <c r="G313" s="155">
        <f t="shared" si="15"/>
        <v>0</v>
      </c>
      <c r="H313" s="156"/>
      <c r="I313" s="157" t="s">
        <v>986</v>
      </c>
      <c r="J313" s="163" t="s">
        <v>362</v>
      </c>
      <c r="AN313" s="131">
        <v>3</v>
      </c>
    </row>
    <row r="314" spans="1:40" s="131" customFormat="1" ht="25.5" outlineLevel="1" x14ac:dyDescent="0.2">
      <c r="A314" s="195" t="s">
        <v>162</v>
      </c>
      <c r="B314" s="218" t="s">
        <v>741</v>
      </c>
      <c r="C314" s="153">
        <v>78254</v>
      </c>
      <c r="D314" s="154" t="s">
        <v>742</v>
      </c>
      <c r="E314" s="154">
        <f t="shared" si="16"/>
        <v>1</v>
      </c>
      <c r="F314" s="155">
        <v>1.47</v>
      </c>
      <c r="G314" s="155">
        <f t="shared" si="15"/>
        <v>1.47</v>
      </c>
      <c r="H314" s="156"/>
      <c r="I314" s="157"/>
      <c r="J314" s="163" t="s">
        <v>273</v>
      </c>
      <c r="AN314" s="131">
        <v>3</v>
      </c>
    </row>
    <row r="315" spans="1:40" s="131" customFormat="1" outlineLevel="1" x14ac:dyDescent="0.2">
      <c r="A315" s="195" t="s">
        <v>162</v>
      </c>
      <c r="B315" s="218" t="s">
        <v>743</v>
      </c>
      <c r="C315" s="153" t="s">
        <v>170</v>
      </c>
      <c r="D315" s="154" t="s">
        <v>171</v>
      </c>
      <c r="E315" s="154">
        <f t="shared" si="16"/>
        <v>1</v>
      </c>
      <c r="F315" s="155">
        <v>0.17</v>
      </c>
      <c r="G315" s="155">
        <f t="shared" si="15"/>
        <v>0.17</v>
      </c>
      <c r="H315" s="156"/>
      <c r="I315" s="157"/>
      <c r="J315" s="158" t="s">
        <v>965</v>
      </c>
      <c r="AN315" s="131">
        <v>3</v>
      </c>
    </row>
    <row r="316" spans="1:40" s="131" customFormat="1" outlineLevel="1" x14ac:dyDescent="0.2">
      <c r="A316" s="195" t="s">
        <v>162</v>
      </c>
      <c r="B316" s="218" t="s">
        <v>744</v>
      </c>
      <c r="C316" s="153" t="s">
        <v>745</v>
      </c>
      <c r="D316" s="154" t="s">
        <v>746</v>
      </c>
      <c r="E316" s="154">
        <f>2*1</f>
        <v>2</v>
      </c>
      <c r="F316" s="155">
        <v>1.93</v>
      </c>
      <c r="G316" s="155">
        <f t="shared" si="15"/>
        <v>3.86</v>
      </c>
      <c r="H316" s="156"/>
      <c r="I316" s="157"/>
      <c r="J316" s="158" t="s">
        <v>965</v>
      </c>
      <c r="AN316" s="131">
        <v>3</v>
      </c>
    </row>
    <row r="317" spans="1:40" s="131" customFormat="1" outlineLevel="1" x14ac:dyDescent="0.2">
      <c r="A317" s="195" t="s">
        <v>162</v>
      </c>
      <c r="B317" s="218" t="s">
        <v>747</v>
      </c>
      <c r="C317" s="153">
        <v>29771</v>
      </c>
      <c r="D317" s="154" t="s">
        <v>748</v>
      </c>
      <c r="E317" s="154">
        <f>2*1</f>
        <v>2</v>
      </c>
      <c r="F317" s="155">
        <v>0.1</v>
      </c>
      <c r="G317" s="155">
        <f t="shared" si="15"/>
        <v>0.2</v>
      </c>
      <c r="H317" s="156"/>
      <c r="I317" s="157" t="s">
        <v>848</v>
      </c>
      <c r="J317" s="158"/>
      <c r="AN317" s="131">
        <v>3</v>
      </c>
    </row>
    <row r="318" spans="1:40" s="131" customFormat="1" outlineLevel="1" x14ac:dyDescent="0.2">
      <c r="A318" s="195" t="s">
        <v>162</v>
      </c>
      <c r="B318" s="218" t="s">
        <v>749</v>
      </c>
      <c r="C318" s="153" t="s">
        <v>172</v>
      </c>
      <c r="D318" s="154" t="s">
        <v>173</v>
      </c>
      <c r="E318" s="154">
        <f>17*1</f>
        <v>17</v>
      </c>
      <c r="F318" s="155">
        <v>0</v>
      </c>
      <c r="G318" s="155">
        <f t="shared" si="15"/>
        <v>0</v>
      </c>
      <c r="H318" s="156"/>
      <c r="I318" s="157"/>
      <c r="J318" s="158"/>
      <c r="AN318" s="131">
        <v>3</v>
      </c>
    </row>
    <row r="319" spans="1:40" s="131" customFormat="1" outlineLevel="1" x14ac:dyDescent="0.2">
      <c r="A319" s="195" t="s">
        <v>162</v>
      </c>
      <c r="B319" s="218" t="s">
        <v>750</v>
      </c>
      <c r="C319" s="153" t="s">
        <v>751</v>
      </c>
      <c r="D319" s="154" t="s">
        <v>752</v>
      </c>
      <c r="E319" s="154">
        <f>6*1</f>
        <v>6</v>
      </c>
      <c r="F319" s="155">
        <v>0</v>
      </c>
      <c r="G319" s="155">
        <f t="shared" si="15"/>
        <v>0</v>
      </c>
      <c r="H319" s="156"/>
      <c r="I319" s="157"/>
      <c r="J319" s="158" t="s">
        <v>964</v>
      </c>
      <c r="AN319" s="131">
        <v>3</v>
      </c>
    </row>
    <row r="320" spans="1:40" s="131" customFormat="1" outlineLevel="1" x14ac:dyDescent="0.2">
      <c r="A320" s="195" t="s">
        <v>162</v>
      </c>
      <c r="B320" s="218" t="s">
        <v>753</v>
      </c>
      <c r="C320" s="153" t="s">
        <v>754</v>
      </c>
      <c r="D320" s="154" t="s">
        <v>755</v>
      </c>
      <c r="E320" s="154">
        <f>4*1</f>
        <v>4</v>
      </c>
      <c r="F320" s="155">
        <v>0.01</v>
      </c>
      <c r="G320" s="155">
        <f t="shared" si="15"/>
        <v>0.04</v>
      </c>
      <c r="H320" s="156"/>
      <c r="I320" s="157"/>
      <c r="J320" s="158" t="s">
        <v>964</v>
      </c>
      <c r="AN320" s="131">
        <v>3</v>
      </c>
    </row>
    <row r="321" spans="1:40" s="131" customFormat="1" outlineLevel="1" x14ac:dyDescent="0.2">
      <c r="A321" s="195" t="s">
        <v>162</v>
      </c>
      <c r="B321" s="218" t="s">
        <v>756</v>
      </c>
      <c r="C321" s="153" t="s">
        <v>757</v>
      </c>
      <c r="D321" s="154" t="s">
        <v>758</v>
      </c>
      <c r="E321" s="154">
        <f t="shared" ref="E321:E327" si="17">2*1</f>
        <v>2</v>
      </c>
      <c r="F321" s="155">
        <v>0</v>
      </c>
      <c r="G321" s="155">
        <f t="shared" si="15"/>
        <v>0</v>
      </c>
      <c r="H321" s="156"/>
      <c r="I321" s="157"/>
      <c r="J321" s="158" t="s">
        <v>964</v>
      </c>
      <c r="AN321" s="131">
        <v>3</v>
      </c>
    </row>
    <row r="322" spans="1:40" s="131" customFormat="1" ht="13.5" customHeight="1" outlineLevel="1" x14ac:dyDescent="0.2">
      <c r="A322" s="195" t="s">
        <v>162</v>
      </c>
      <c r="B322" s="218" t="s">
        <v>759</v>
      </c>
      <c r="C322" s="153" t="s">
        <v>138</v>
      </c>
      <c r="D322" s="154" t="s">
        <v>139</v>
      </c>
      <c r="E322" s="154">
        <v>3</v>
      </c>
      <c r="F322" s="155">
        <v>0.02</v>
      </c>
      <c r="G322" s="155">
        <f t="shared" si="15"/>
        <v>0.06</v>
      </c>
      <c r="H322" s="156"/>
      <c r="I322" s="157"/>
      <c r="J322" s="158" t="s">
        <v>964</v>
      </c>
      <c r="AN322" s="131">
        <v>3</v>
      </c>
    </row>
    <row r="323" spans="1:40" s="131" customFormat="1" ht="13.5" customHeight="1" outlineLevel="1" x14ac:dyDescent="0.2">
      <c r="A323" s="195" t="s">
        <v>162</v>
      </c>
      <c r="B323" s="218" t="s">
        <v>759</v>
      </c>
      <c r="C323" s="153" t="s">
        <v>138</v>
      </c>
      <c r="D323" s="154" t="s">
        <v>139</v>
      </c>
      <c r="E323" s="154">
        <v>1</v>
      </c>
      <c r="F323" s="155">
        <v>0.02</v>
      </c>
      <c r="G323" s="155">
        <f t="shared" ref="G323" si="18">F323*E323</f>
        <v>0.02</v>
      </c>
      <c r="H323" s="156"/>
      <c r="I323" s="157" t="s">
        <v>842</v>
      </c>
      <c r="J323" s="158" t="s">
        <v>964</v>
      </c>
      <c r="AN323" s="131">
        <v>3</v>
      </c>
    </row>
    <row r="324" spans="1:40" s="131" customFormat="1" outlineLevel="1" x14ac:dyDescent="0.2">
      <c r="A324" s="195" t="s">
        <v>162</v>
      </c>
      <c r="B324" s="218" t="s">
        <v>760</v>
      </c>
      <c r="C324" s="153" t="s">
        <v>761</v>
      </c>
      <c r="D324" s="154" t="s">
        <v>762</v>
      </c>
      <c r="E324" s="154">
        <f t="shared" si="17"/>
        <v>2</v>
      </c>
      <c r="F324" s="155">
        <v>0</v>
      </c>
      <c r="G324" s="155">
        <f t="shared" si="15"/>
        <v>0</v>
      </c>
      <c r="H324" s="156"/>
      <c r="I324" s="157"/>
      <c r="J324" s="158" t="s">
        <v>971</v>
      </c>
      <c r="AN324" s="131">
        <v>3</v>
      </c>
    </row>
    <row r="325" spans="1:40" s="131" customFormat="1" outlineLevel="1" x14ac:dyDescent="0.2">
      <c r="A325" s="195" t="s">
        <v>162</v>
      </c>
      <c r="B325" s="218" t="s">
        <v>763</v>
      </c>
      <c r="C325" s="153" t="s">
        <v>764</v>
      </c>
      <c r="D325" s="154" t="s">
        <v>765</v>
      </c>
      <c r="E325" s="154">
        <f t="shared" si="17"/>
        <v>2</v>
      </c>
      <c r="F325" s="155">
        <v>0.14000000000000001</v>
      </c>
      <c r="G325" s="155">
        <f t="shared" si="15"/>
        <v>0.28000000000000003</v>
      </c>
      <c r="H325" s="156"/>
      <c r="I325" s="157"/>
      <c r="J325" s="158" t="s">
        <v>971</v>
      </c>
      <c r="AN325" s="131">
        <v>3</v>
      </c>
    </row>
    <row r="326" spans="1:40" s="131" customFormat="1" outlineLevel="1" x14ac:dyDescent="0.2">
      <c r="A326" s="195" t="s">
        <v>162</v>
      </c>
      <c r="B326" s="218" t="s">
        <v>766</v>
      </c>
      <c r="C326" s="153" t="s">
        <v>767</v>
      </c>
      <c r="D326" s="154" t="s">
        <v>768</v>
      </c>
      <c r="E326" s="154">
        <f t="shared" si="17"/>
        <v>2</v>
      </c>
      <c r="F326" s="155">
        <v>0</v>
      </c>
      <c r="G326" s="155">
        <f t="shared" si="15"/>
        <v>0</v>
      </c>
      <c r="H326" s="156" t="s">
        <v>167</v>
      </c>
      <c r="I326" s="157"/>
      <c r="J326" s="158"/>
      <c r="AN326" s="131">
        <v>3</v>
      </c>
    </row>
    <row r="327" spans="1:40" s="131" customFormat="1" outlineLevel="1" x14ac:dyDescent="0.2">
      <c r="A327" s="195" t="s">
        <v>162</v>
      </c>
      <c r="B327" s="218" t="s">
        <v>769</v>
      </c>
      <c r="C327" s="153" t="s">
        <v>770</v>
      </c>
      <c r="D327" s="154" t="s">
        <v>771</v>
      </c>
      <c r="E327" s="154">
        <f t="shared" si="17"/>
        <v>2</v>
      </c>
      <c r="F327" s="155">
        <v>0</v>
      </c>
      <c r="G327" s="155">
        <f t="shared" si="15"/>
        <v>0</v>
      </c>
      <c r="H327" s="156"/>
      <c r="I327" s="157"/>
      <c r="J327" s="158" t="s">
        <v>966</v>
      </c>
      <c r="AN327" s="131">
        <v>3</v>
      </c>
    </row>
    <row r="328" spans="1:40" s="131" customFormat="1" outlineLevel="1" x14ac:dyDescent="0.2">
      <c r="A328" s="195" t="s">
        <v>162</v>
      </c>
      <c r="B328" s="218" t="s">
        <v>772</v>
      </c>
      <c r="C328" s="153" t="s">
        <v>176</v>
      </c>
      <c r="D328" s="154" t="s">
        <v>177</v>
      </c>
      <c r="E328" s="154">
        <f>26*1</f>
        <v>26</v>
      </c>
      <c r="F328" s="155">
        <v>0</v>
      </c>
      <c r="G328" s="155">
        <f t="shared" si="15"/>
        <v>0</v>
      </c>
      <c r="H328" s="156"/>
      <c r="I328" s="157"/>
      <c r="J328" s="158" t="s">
        <v>966</v>
      </c>
      <c r="AN328" s="131">
        <v>3</v>
      </c>
    </row>
    <row r="329" spans="1:40" s="131" customFormat="1" outlineLevel="1" x14ac:dyDescent="0.2">
      <c r="A329" s="195" t="s">
        <v>162</v>
      </c>
      <c r="B329" s="218" t="s">
        <v>772</v>
      </c>
      <c r="C329" s="153" t="s">
        <v>176</v>
      </c>
      <c r="D329" s="154" t="s">
        <v>177</v>
      </c>
      <c r="E329" s="154">
        <f>24</f>
        <v>24</v>
      </c>
      <c r="F329" s="155">
        <v>0</v>
      </c>
      <c r="G329" s="155">
        <f t="shared" ref="G329" si="19">F329*E329</f>
        <v>0</v>
      </c>
      <c r="H329" s="156"/>
      <c r="I329" s="157" t="s">
        <v>842</v>
      </c>
      <c r="J329" s="158" t="s">
        <v>966</v>
      </c>
      <c r="AN329" s="131">
        <v>3</v>
      </c>
    </row>
    <row r="330" spans="1:40" s="131" customFormat="1" outlineLevel="1" x14ac:dyDescent="0.2">
      <c r="A330" s="195" t="s">
        <v>162</v>
      </c>
      <c r="B330" s="218" t="s">
        <v>773</v>
      </c>
      <c r="C330" s="153" t="s">
        <v>174</v>
      </c>
      <c r="D330" s="154" t="s">
        <v>175</v>
      </c>
      <c r="E330" s="154">
        <f>4*1</f>
        <v>4</v>
      </c>
      <c r="F330" s="155">
        <v>0</v>
      </c>
      <c r="G330" s="155">
        <f t="shared" si="15"/>
        <v>0</v>
      </c>
      <c r="H330" s="156"/>
      <c r="I330" s="157"/>
      <c r="J330" s="158" t="s">
        <v>966</v>
      </c>
      <c r="AN330" s="131">
        <v>3</v>
      </c>
    </row>
    <row r="331" spans="1:40" s="131" customFormat="1" outlineLevel="1" x14ac:dyDescent="0.2">
      <c r="A331" s="195" t="s">
        <v>162</v>
      </c>
      <c r="B331" s="218" t="s">
        <v>773</v>
      </c>
      <c r="C331" s="153" t="s">
        <v>174</v>
      </c>
      <c r="D331" s="154" t="s">
        <v>175</v>
      </c>
      <c r="E331" s="154">
        <v>2</v>
      </c>
      <c r="F331" s="155">
        <v>0</v>
      </c>
      <c r="G331" s="155">
        <f t="shared" ref="G331" si="20">F331*E331</f>
        <v>0</v>
      </c>
      <c r="H331" s="156"/>
      <c r="I331" s="157" t="s">
        <v>842</v>
      </c>
      <c r="J331" s="158" t="s">
        <v>966</v>
      </c>
      <c r="AN331" s="131">
        <v>3</v>
      </c>
    </row>
    <row r="332" spans="1:40" s="131" customFormat="1" outlineLevel="1" x14ac:dyDescent="0.2">
      <c r="A332" s="195" t="s">
        <v>162</v>
      </c>
      <c r="B332" s="218" t="s">
        <v>774</v>
      </c>
      <c r="C332" s="153" t="s">
        <v>178</v>
      </c>
      <c r="D332" s="154" t="s">
        <v>179</v>
      </c>
      <c r="E332" s="154">
        <f>2*1</f>
        <v>2</v>
      </c>
      <c r="F332" s="155">
        <v>0</v>
      </c>
      <c r="G332" s="155">
        <f t="shared" si="15"/>
        <v>0</v>
      </c>
      <c r="H332" s="156"/>
      <c r="I332" s="157"/>
      <c r="J332" s="158" t="s">
        <v>966</v>
      </c>
      <c r="AN332" s="131">
        <v>3</v>
      </c>
    </row>
    <row r="333" spans="1:40" s="131" customFormat="1" outlineLevel="1" x14ac:dyDescent="0.2">
      <c r="A333" s="195" t="s">
        <v>162</v>
      </c>
      <c r="B333" s="218" t="s">
        <v>775</v>
      </c>
      <c r="C333" s="153" t="s">
        <v>180</v>
      </c>
      <c r="D333" s="154" t="s">
        <v>776</v>
      </c>
      <c r="E333" s="154">
        <f>6*1</f>
        <v>6</v>
      </c>
      <c r="F333" s="155">
        <v>0</v>
      </c>
      <c r="G333" s="155">
        <f t="shared" si="15"/>
        <v>0</v>
      </c>
      <c r="H333" s="156"/>
      <c r="I333" s="157"/>
      <c r="J333" s="158"/>
      <c r="AN333" s="131">
        <v>3</v>
      </c>
    </row>
    <row r="334" spans="1:40" s="131" customFormat="1" outlineLevel="1" x14ac:dyDescent="0.2">
      <c r="A334" s="195" t="s">
        <v>162</v>
      </c>
      <c r="B334" s="218" t="s">
        <v>775</v>
      </c>
      <c r="C334" s="153" t="s">
        <v>180</v>
      </c>
      <c r="D334" s="154" t="s">
        <v>776</v>
      </c>
      <c r="E334" s="154">
        <v>4</v>
      </c>
      <c r="F334" s="155">
        <v>0</v>
      </c>
      <c r="G334" s="155">
        <f t="shared" ref="G334" si="21">F334*E334</f>
        <v>0</v>
      </c>
      <c r="H334" s="156"/>
      <c r="I334" s="157" t="s">
        <v>842</v>
      </c>
      <c r="J334" s="158"/>
      <c r="AN334" s="131">
        <v>3</v>
      </c>
    </row>
    <row r="335" spans="1:40" s="131" customFormat="1" outlineLevel="1" x14ac:dyDescent="0.2">
      <c r="A335" s="195" t="s">
        <v>162</v>
      </c>
      <c r="B335" s="218" t="s">
        <v>777</v>
      </c>
      <c r="C335" s="153" t="s">
        <v>180</v>
      </c>
      <c r="D335" s="154" t="s">
        <v>181</v>
      </c>
      <c r="E335" s="154">
        <f>20*1</f>
        <v>20</v>
      </c>
      <c r="F335" s="155">
        <v>0</v>
      </c>
      <c r="G335" s="155">
        <f t="shared" si="15"/>
        <v>0</v>
      </c>
      <c r="H335" s="156"/>
      <c r="I335" s="157"/>
      <c r="J335" s="158"/>
      <c r="AN335" s="131">
        <v>3</v>
      </c>
    </row>
    <row r="336" spans="1:40" s="131" customFormat="1" outlineLevel="1" x14ac:dyDescent="0.2">
      <c r="A336" s="195" t="s">
        <v>162</v>
      </c>
      <c r="B336" s="218" t="s">
        <v>777</v>
      </c>
      <c r="C336" s="153" t="s">
        <v>180</v>
      </c>
      <c r="D336" s="154" t="s">
        <v>181</v>
      </c>
      <c r="E336" s="154">
        <f>16</f>
        <v>16</v>
      </c>
      <c r="F336" s="155">
        <v>0</v>
      </c>
      <c r="G336" s="155">
        <f t="shared" ref="G336" si="22">F336*E336</f>
        <v>0</v>
      </c>
      <c r="H336" s="156"/>
      <c r="I336" s="157" t="s">
        <v>842</v>
      </c>
      <c r="J336" s="158"/>
      <c r="AN336" s="131">
        <v>3</v>
      </c>
    </row>
    <row r="337" spans="1:40" s="131" customFormat="1" outlineLevel="1" x14ac:dyDescent="0.2">
      <c r="A337" s="195" t="s">
        <v>162</v>
      </c>
      <c r="B337" s="218" t="s">
        <v>778</v>
      </c>
      <c r="C337" s="153" t="s">
        <v>183</v>
      </c>
      <c r="D337" s="154" t="s">
        <v>184</v>
      </c>
      <c r="E337" s="154">
        <f>10*1</f>
        <v>10</v>
      </c>
      <c r="F337" s="155">
        <v>0</v>
      </c>
      <c r="G337" s="155">
        <f t="shared" si="15"/>
        <v>0</v>
      </c>
      <c r="H337" s="156"/>
      <c r="I337" s="157"/>
      <c r="J337" s="158"/>
      <c r="AN337" s="131">
        <v>3</v>
      </c>
    </row>
    <row r="338" spans="1:40" s="131" customFormat="1" outlineLevel="1" x14ac:dyDescent="0.2">
      <c r="A338" s="195" t="s">
        <v>162</v>
      </c>
      <c r="B338" s="218" t="s">
        <v>779</v>
      </c>
      <c r="C338" s="153" t="s">
        <v>780</v>
      </c>
      <c r="D338" s="154" t="s">
        <v>781</v>
      </c>
      <c r="E338" s="154">
        <f>8*1</f>
        <v>8</v>
      </c>
      <c r="F338" s="155">
        <v>0</v>
      </c>
      <c r="G338" s="155">
        <f t="shared" si="15"/>
        <v>0</v>
      </c>
      <c r="H338" s="156"/>
      <c r="I338" s="157" t="s">
        <v>848</v>
      </c>
      <c r="J338" s="158"/>
      <c r="AN338" s="131">
        <v>3</v>
      </c>
    </row>
    <row r="339" spans="1:40" s="131" customFormat="1" outlineLevel="1" x14ac:dyDescent="0.2">
      <c r="A339" s="195" t="s">
        <v>162</v>
      </c>
      <c r="B339" s="218" t="s">
        <v>782</v>
      </c>
      <c r="C339" s="153" t="s">
        <v>783</v>
      </c>
      <c r="D339" s="154" t="s">
        <v>784</v>
      </c>
      <c r="E339" s="154">
        <f>6*1</f>
        <v>6</v>
      </c>
      <c r="F339" s="155">
        <v>0</v>
      </c>
      <c r="G339" s="155">
        <f t="shared" si="15"/>
        <v>0</v>
      </c>
      <c r="H339" s="156"/>
      <c r="I339" s="157"/>
      <c r="J339" s="158"/>
      <c r="AN339" s="131">
        <v>3</v>
      </c>
    </row>
    <row r="340" spans="1:40" s="131" customFormat="1" ht="25.5" outlineLevel="1" x14ac:dyDescent="0.2">
      <c r="A340" s="195" t="s">
        <v>162</v>
      </c>
      <c r="B340" s="218" t="s">
        <v>785</v>
      </c>
      <c r="C340" s="153" t="s">
        <v>786</v>
      </c>
      <c r="D340" s="154" t="s">
        <v>787</v>
      </c>
      <c r="E340" s="154">
        <f>53*1</f>
        <v>53</v>
      </c>
      <c r="F340" s="155">
        <v>0.01</v>
      </c>
      <c r="G340" s="155">
        <f t="shared" si="15"/>
        <v>0.53</v>
      </c>
      <c r="H340" s="156"/>
      <c r="I340" s="157"/>
      <c r="J340" s="158"/>
      <c r="AN340" s="131">
        <v>3</v>
      </c>
    </row>
    <row r="341" spans="1:40" s="131" customFormat="1" outlineLevel="1" x14ac:dyDescent="0.2">
      <c r="A341" s="195" t="s">
        <v>162</v>
      </c>
      <c r="B341" s="218" t="s">
        <v>788</v>
      </c>
      <c r="C341" s="153" t="s">
        <v>214</v>
      </c>
      <c r="D341" s="154" t="s">
        <v>215</v>
      </c>
      <c r="E341" s="154">
        <f>6*1</f>
        <v>6</v>
      </c>
      <c r="F341" s="155">
        <v>0</v>
      </c>
      <c r="G341" s="155">
        <f t="shared" si="15"/>
        <v>0</v>
      </c>
      <c r="H341" s="156"/>
      <c r="I341" s="157"/>
      <c r="J341" s="158"/>
      <c r="AN341" s="131">
        <v>3</v>
      </c>
    </row>
    <row r="342" spans="1:40" s="131" customFormat="1" outlineLevel="1" x14ac:dyDescent="0.2">
      <c r="A342" s="195" t="s">
        <v>162</v>
      </c>
      <c r="B342" s="218" t="s">
        <v>789</v>
      </c>
      <c r="C342" s="153" t="s">
        <v>142</v>
      </c>
      <c r="D342" s="154" t="s">
        <v>790</v>
      </c>
      <c r="E342" s="154">
        <f>4*1</f>
        <v>4</v>
      </c>
      <c r="F342" s="155">
        <v>0.02</v>
      </c>
      <c r="G342" s="155">
        <f t="shared" si="15"/>
        <v>0.08</v>
      </c>
      <c r="H342" s="156"/>
      <c r="I342" s="157"/>
      <c r="J342" s="158"/>
      <c r="AN342" s="131">
        <v>3</v>
      </c>
    </row>
    <row r="343" spans="1:40" s="131" customFormat="1" outlineLevel="1" x14ac:dyDescent="0.2">
      <c r="A343" s="195" t="s">
        <v>162</v>
      </c>
      <c r="B343" s="218" t="s">
        <v>791</v>
      </c>
      <c r="C343" s="153" t="s">
        <v>792</v>
      </c>
      <c r="D343" s="154" t="s">
        <v>793</v>
      </c>
      <c r="E343" s="154">
        <f>4*1</f>
        <v>4</v>
      </c>
      <c r="F343" s="155">
        <v>0.01</v>
      </c>
      <c r="G343" s="155">
        <f t="shared" si="15"/>
        <v>0.04</v>
      </c>
      <c r="H343" s="156"/>
      <c r="I343" s="157" t="s">
        <v>851</v>
      </c>
      <c r="J343" s="158"/>
      <c r="AN343" s="131">
        <v>3</v>
      </c>
    </row>
    <row r="344" spans="1:40" s="131" customFormat="1" outlineLevel="1" x14ac:dyDescent="0.2">
      <c r="A344" s="195" t="s">
        <v>162</v>
      </c>
      <c r="B344" s="218" t="s">
        <v>794</v>
      </c>
      <c r="C344" s="153" t="s">
        <v>185</v>
      </c>
      <c r="D344" s="154" t="s">
        <v>186</v>
      </c>
      <c r="E344" s="154">
        <f>2*1</f>
        <v>2</v>
      </c>
      <c r="F344" s="155">
        <v>0</v>
      </c>
      <c r="G344" s="155">
        <f t="shared" si="15"/>
        <v>0</v>
      </c>
      <c r="H344" s="156"/>
      <c r="I344" s="157"/>
      <c r="J344" s="158"/>
      <c r="AN344" s="131">
        <v>3</v>
      </c>
    </row>
    <row r="345" spans="1:40" s="131" customFormat="1" outlineLevel="1" x14ac:dyDescent="0.2">
      <c r="A345" s="195" t="s">
        <v>162</v>
      </c>
      <c r="B345" s="218" t="s">
        <v>795</v>
      </c>
      <c r="C345" s="153" t="s">
        <v>148</v>
      </c>
      <c r="D345" s="154" t="s">
        <v>796</v>
      </c>
      <c r="E345" s="154">
        <f>4*1</f>
        <v>4</v>
      </c>
      <c r="F345" s="155">
        <v>0.01</v>
      </c>
      <c r="G345" s="155">
        <f t="shared" si="15"/>
        <v>0.04</v>
      </c>
      <c r="H345" s="156"/>
      <c r="I345" s="157"/>
      <c r="J345" s="158"/>
      <c r="AN345" s="131">
        <v>3</v>
      </c>
    </row>
    <row r="346" spans="1:40" s="131" customFormat="1" outlineLevel="1" x14ac:dyDescent="0.2">
      <c r="A346" s="195" t="s">
        <v>162</v>
      </c>
      <c r="B346" s="218" t="s">
        <v>797</v>
      </c>
      <c r="C346" s="153" t="s">
        <v>153</v>
      </c>
      <c r="D346" s="154" t="s">
        <v>154</v>
      </c>
      <c r="E346" s="154">
        <f>4*1</f>
        <v>4</v>
      </c>
      <c r="F346" s="155">
        <v>0</v>
      </c>
      <c r="G346" s="155">
        <f t="shared" si="15"/>
        <v>0</v>
      </c>
      <c r="H346" s="156"/>
      <c r="I346" s="157"/>
      <c r="J346" s="158"/>
      <c r="AN346" s="131">
        <v>3</v>
      </c>
    </row>
    <row r="347" spans="1:40" s="131" customFormat="1" outlineLevel="1" x14ac:dyDescent="0.2">
      <c r="A347" s="195" t="s">
        <v>162</v>
      </c>
      <c r="B347" s="218" t="s">
        <v>798</v>
      </c>
      <c r="C347" s="153" t="s">
        <v>153</v>
      </c>
      <c r="D347" s="154" t="s">
        <v>187</v>
      </c>
      <c r="E347" s="154">
        <f>53*1</f>
        <v>53</v>
      </c>
      <c r="F347" s="155">
        <v>0</v>
      </c>
      <c r="G347" s="155">
        <f t="shared" si="15"/>
        <v>0</v>
      </c>
      <c r="H347" s="156"/>
      <c r="I347" s="157"/>
      <c r="J347" s="158"/>
      <c r="AN347" s="131">
        <v>3</v>
      </c>
    </row>
    <row r="348" spans="1:40" s="131" customFormat="1" x14ac:dyDescent="0.2">
      <c r="A348" s="195" t="s">
        <v>213</v>
      </c>
      <c r="B348" s="218" t="s">
        <v>97</v>
      </c>
      <c r="C348" s="208" t="s">
        <v>799</v>
      </c>
      <c r="D348" s="206" t="s">
        <v>127</v>
      </c>
      <c r="E348" s="206">
        <v>1</v>
      </c>
      <c r="F348" s="209">
        <v>0.61</v>
      </c>
      <c r="G348" s="209">
        <f t="shared" si="15"/>
        <v>0.61</v>
      </c>
      <c r="H348" s="210" t="s">
        <v>126</v>
      </c>
      <c r="I348" s="211"/>
      <c r="J348" s="212"/>
      <c r="AN348" s="131">
        <v>2</v>
      </c>
    </row>
    <row r="349" spans="1:40" s="131" customFormat="1" x14ac:dyDescent="0.2">
      <c r="A349" s="195" t="s">
        <v>213</v>
      </c>
      <c r="B349" s="218" t="s">
        <v>98</v>
      </c>
      <c r="C349" s="208" t="s">
        <v>800</v>
      </c>
      <c r="D349" s="206" t="s">
        <v>801</v>
      </c>
      <c r="E349" s="206">
        <v>1</v>
      </c>
      <c r="F349" s="209">
        <v>2.42</v>
      </c>
      <c r="G349" s="209">
        <f t="shared" si="15"/>
        <v>2.42</v>
      </c>
      <c r="H349" s="210" t="s">
        <v>126</v>
      </c>
      <c r="I349" s="211"/>
      <c r="J349" s="212"/>
      <c r="AN349" s="131">
        <v>2</v>
      </c>
    </row>
    <row r="350" spans="1:40" s="131" customFormat="1" x14ac:dyDescent="0.2">
      <c r="A350" s="195" t="s">
        <v>213</v>
      </c>
      <c r="B350" s="218" t="s">
        <v>99</v>
      </c>
      <c r="C350" s="208" t="s">
        <v>802</v>
      </c>
      <c r="D350" s="206" t="s">
        <v>355</v>
      </c>
      <c r="E350" s="206">
        <v>1</v>
      </c>
      <c r="F350" s="209">
        <v>0.56999999999999995</v>
      </c>
      <c r="G350" s="209">
        <f t="shared" si="15"/>
        <v>0.56999999999999995</v>
      </c>
      <c r="H350" s="210" t="s">
        <v>126</v>
      </c>
      <c r="I350" s="211"/>
      <c r="J350" s="212"/>
      <c r="AN350" s="131">
        <v>2</v>
      </c>
    </row>
    <row r="351" spans="1:40" s="131" customFormat="1" x14ac:dyDescent="0.2">
      <c r="A351" s="195" t="s">
        <v>237</v>
      </c>
      <c r="B351" s="218" t="s">
        <v>100</v>
      </c>
      <c r="C351" s="196" t="s">
        <v>803</v>
      </c>
      <c r="D351" s="197" t="s">
        <v>804</v>
      </c>
      <c r="E351" s="197">
        <v>1</v>
      </c>
      <c r="F351" s="207"/>
      <c r="G351" s="207" t="str">
        <f>""</f>
        <v/>
      </c>
      <c r="H351" s="195"/>
      <c r="I351" s="198" t="s">
        <v>847</v>
      </c>
      <c r="J351" s="199"/>
      <c r="AN351" s="131">
        <v>2</v>
      </c>
    </row>
    <row r="352" spans="1:40" s="131" customFormat="1" outlineLevel="1" x14ac:dyDescent="0.2">
      <c r="A352" s="195" t="s">
        <v>213</v>
      </c>
      <c r="B352" s="218" t="s">
        <v>805</v>
      </c>
      <c r="C352" s="200" t="s">
        <v>806</v>
      </c>
      <c r="D352" s="201" t="s">
        <v>807</v>
      </c>
      <c r="E352" s="201">
        <f>2*1</f>
        <v>2</v>
      </c>
      <c r="F352" s="202">
        <v>0.06</v>
      </c>
      <c r="G352" s="202">
        <f t="shared" ref="G352:G389" si="23">F352*E352</f>
        <v>0.12</v>
      </c>
      <c r="H352" s="203" t="s">
        <v>126</v>
      </c>
      <c r="I352" s="198" t="s">
        <v>847</v>
      </c>
      <c r="J352" s="205"/>
      <c r="AN352" s="131">
        <v>3</v>
      </c>
    </row>
    <row r="353" spans="1:40" s="131" customFormat="1" outlineLevel="1" x14ac:dyDescent="0.2">
      <c r="A353" s="195" t="s">
        <v>213</v>
      </c>
      <c r="B353" s="218" t="s">
        <v>808</v>
      </c>
      <c r="C353" s="200" t="s">
        <v>809</v>
      </c>
      <c r="D353" s="201" t="s">
        <v>810</v>
      </c>
      <c r="E353" s="201">
        <f>1*1</f>
        <v>1</v>
      </c>
      <c r="F353" s="202">
        <v>0.68</v>
      </c>
      <c r="G353" s="202">
        <f t="shared" si="23"/>
        <v>0.68</v>
      </c>
      <c r="H353" s="203" t="s">
        <v>126</v>
      </c>
      <c r="I353" s="198" t="s">
        <v>847</v>
      </c>
      <c r="J353" s="205"/>
      <c r="AN353" s="131">
        <v>3</v>
      </c>
    </row>
    <row r="354" spans="1:40" s="131" customFormat="1" x14ac:dyDescent="0.2">
      <c r="A354" s="195" t="s">
        <v>237</v>
      </c>
      <c r="B354" s="222" t="s">
        <v>100</v>
      </c>
      <c r="C354" s="196" t="s">
        <v>868</v>
      </c>
      <c r="D354" s="197" t="s">
        <v>804</v>
      </c>
      <c r="E354" s="197">
        <v>1</v>
      </c>
      <c r="F354" s="197"/>
      <c r="G354" s="197"/>
      <c r="H354" s="195"/>
      <c r="I354" s="198" t="s">
        <v>871</v>
      </c>
      <c r="J354" s="199"/>
      <c r="AN354" s="131">
        <v>2</v>
      </c>
    </row>
    <row r="355" spans="1:40" s="131" customFormat="1" x14ac:dyDescent="0.2">
      <c r="A355" s="195" t="s">
        <v>213</v>
      </c>
      <c r="B355" s="222" t="s">
        <v>805</v>
      </c>
      <c r="C355" s="200" t="s">
        <v>869</v>
      </c>
      <c r="D355" s="201" t="s">
        <v>807</v>
      </c>
      <c r="E355" s="201">
        <v>2</v>
      </c>
      <c r="F355" s="202">
        <v>0.06</v>
      </c>
      <c r="G355" s="202">
        <f>F355*E355</f>
        <v>0.12</v>
      </c>
      <c r="H355" s="203">
        <v>1.4300999999999999</v>
      </c>
      <c r="I355" s="198" t="s">
        <v>871</v>
      </c>
      <c r="J355" s="205"/>
      <c r="AN355" s="131">
        <v>3</v>
      </c>
    </row>
    <row r="356" spans="1:40" s="131" customFormat="1" x14ac:dyDescent="0.2">
      <c r="A356" s="195" t="s">
        <v>213</v>
      </c>
      <c r="B356" s="222" t="s">
        <v>808</v>
      </c>
      <c r="C356" s="200" t="s">
        <v>870</v>
      </c>
      <c r="D356" s="201" t="s">
        <v>810</v>
      </c>
      <c r="E356" s="201">
        <v>1</v>
      </c>
      <c r="F356" s="202">
        <v>0.7</v>
      </c>
      <c r="G356" s="202">
        <f>F356*E356</f>
        <v>0.7</v>
      </c>
      <c r="H356" s="203">
        <v>1.4300999999999999</v>
      </c>
      <c r="I356" s="198" t="s">
        <v>871</v>
      </c>
      <c r="J356" s="205"/>
      <c r="AN356" s="131">
        <v>3</v>
      </c>
    </row>
    <row r="357" spans="1:40" s="131" customFormat="1" x14ac:dyDescent="0.2">
      <c r="A357" s="195" t="s">
        <v>213</v>
      </c>
      <c r="B357" s="218" t="s">
        <v>101</v>
      </c>
      <c r="C357" s="208" t="s">
        <v>811</v>
      </c>
      <c r="D357" s="206" t="s">
        <v>812</v>
      </c>
      <c r="E357" s="206">
        <v>1</v>
      </c>
      <c r="F357" s="209">
        <v>0.03</v>
      </c>
      <c r="G357" s="209">
        <f t="shared" si="23"/>
        <v>0.03</v>
      </c>
      <c r="H357" s="210">
        <v>1.4300999999999999</v>
      </c>
      <c r="I357" s="211"/>
      <c r="J357" s="212"/>
      <c r="AN357" s="131">
        <v>2</v>
      </c>
    </row>
    <row r="358" spans="1:40" s="131" customFormat="1" x14ac:dyDescent="0.2">
      <c r="A358" s="195" t="s">
        <v>213</v>
      </c>
      <c r="B358" s="218" t="s">
        <v>103</v>
      </c>
      <c r="C358" s="208" t="s">
        <v>813</v>
      </c>
      <c r="D358" s="206" t="s">
        <v>814</v>
      </c>
      <c r="E358" s="206">
        <v>1</v>
      </c>
      <c r="F358" s="209">
        <v>0.03</v>
      </c>
      <c r="G358" s="209">
        <f t="shared" si="23"/>
        <v>0.03</v>
      </c>
      <c r="H358" s="210">
        <v>1.4300999999999999</v>
      </c>
      <c r="I358" s="211"/>
      <c r="J358" s="212"/>
      <c r="AN358" s="131">
        <v>2</v>
      </c>
    </row>
    <row r="359" spans="1:40" s="131" customFormat="1" ht="25.5" x14ac:dyDescent="0.2">
      <c r="A359" s="195" t="s">
        <v>162</v>
      </c>
      <c r="B359" s="218" t="s">
        <v>104</v>
      </c>
      <c r="C359" s="153" t="s">
        <v>815</v>
      </c>
      <c r="D359" s="154" t="s">
        <v>816</v>
      </c>
      <c r="E359" s="154">
        <v>1</v>
      </c>
      <c r="F359" s="155">
        <v>1.79</v>
      </c>
      <c r="G359" s="155">
        <f t="shared" si="23"/>
        <v>1.79</v>
      </c>
      <c r="H359" s="156"/>
      <c r="I359" s="157"/>
      <c r="J359" s="163" t="s">
        <v>273</v>
      </c>
      <c r="AN359" s="131">
        <v>2</v>
      </c>
    </row>
    <row r="360" spans="1:40" s="131" customFormat="1" x14ac:dyDescent="0.2">
      <c r="A360" s="195" t="s">
        <v>162</v>
      </c>
      <c r="B360" s="218" t="s">
        <v>105</v>
      </c>
      <c r="C360" s="153">
        <v>42703</v>
      </c>
      <c r="D360" s="154" t="s">
        <v>817</v>
      </c>
      <c r="E360" s="154">
        <v>1</v>
      </c>
      <c r="F360" s="155">
        <v>0.01</v>
      </c>
      <c r="G360" s="155">
        <f t="shared" si="23"/>
        <v>0.01</v>
      </c>
      <c r="H360" s="156" t="s">
        <v>167</v>
      </c>
      <c r="I360" s="157" t="s">
        <v>848</v>
      </c>
      <c r="J360" s="227" t="s">
        <v>972</v>
      </c>
      <c r="AN360" s="131">
        <v>2</v>
      </c>
    </row>
    <row r="361" spans="1:40" s="238" customFormat="1" x14ac:dyDescent="0.2">
      <c r="A361" s="230" t="s">
        <v>162</v>
      </c>
      <c r="B361" s="231" t="s">
        <v>106</v>
      </c>
      <c r="C361" s="232">
        <v>74296</v>
      </c>
      <c r="D361" s="233" t="s">
        <v>128</v>
      </c>
      <c r="E361" s="233">
        <v>1</v>
      </c>
      <c r="F361" s="234">
        <v>0.05</v>
      </c>
      <c r="G361" s="234">
        <f t="shared" si="23"/>
        <v>0.05</v>
      </c>
      <c r="H361" s="235"/>
      <c r="I361" s="236" t="s">
        <v>844</v>
      </c>
      <c r="J361" s="237" t="s">
        <v>273</v>
      </c>
      <c r="AN361" s="238">
        <v>2</v>
      </c>
    </row>
    <row r="362" spans="1:40" s="238" customFormat="1" x14ac:dyDescent="0.2">
      <c r="A362" s="230" t="s">
        <v>162</v>
      </c>
      <c r="B362" s="231" t="s">
        <v>107</v>
      </c>
      <c r="C362" s="232">
        <v>74297</v>
      </c>
      <c r="D362" s="233" t="s">
        <v>129</v>
      </c>
      <c r="E362" s="233">
        <v>1</v>
      </c>
      <c r="F362" s="234">
        <v>0.05</v>
      </c>
      <c r="G362" s="234">
        <f t="shared" si="23"/>
        <v>0.05</v>
      </c>
      <c r="H362" s="235"/>
      <c r="I362" s="236" t="s">
        <v>844</v>
      </c>
      <c r="J362" s="237" t="s">
        <v>273</v>
      </c>
      <c r="AN362" s="238">
        <v>2</v>
      </c>
    </row>
    <row r="363" spans="1:40" s="131" customFormat="1" x14ac:dyDescent="0.2">
      <c r="A363" s="195" t="s">
        <v>162</v>
      </c>
      <c r="B363" s="218" t="s">
        <v>108</v>
      </c>
      <c r="C363" s="153" t="s">
        <v>818</v>
      </c>
      <c r="D363" s="154" t="s">
        <v>819</v>
      </c>
      <c r="E363" s="154">
        <v>1</v>
      </c>
      <c r="F363" s="155">
        <v>0.1</v>
      </c>
      <c r="G363" s="155">
        <f t="shared" si="23"/>
        <v>0.1</v>
      </c>
      <c r="H363" s="156"/>
      <c r="I363" s="157"/>
      <c r="J363" s="158" t="s">
        <v>968</v>
      </c>
      <c r="AN363" s="238">
        <v>2</v>
      </c>
    </row>
    <row r="364" spans="1:40" s="131" customFormat="1" x14ac:dyDescent="0.2">
      <c r="A364" s="195" t="s">
        <v>162</v>
      </c>
      <c r="B364" s="218" t="s">
        <v>109</v>
      </c>
      <c r="C364" s="153" t="s">
        <v>130</v>
      </c>
      <c r="D364" s="154" t="s">
        <v>131</v>
      </c>
      <c r="E364" s="154">
        <v>2</v>
      </c>
      <c r="F364" s="155">
        <v>0</v>
      </c>
      <c r="G364" s="155">
        <f t="shared" si="23"/>
        <v>0</v>
      </c>
      <c r="H364" s="156"/>
      <c r="I364" s="157"/>
      <c r="J364" s="158" t="s">
        <v>969</v>
      </c>
      <c r="AN364" s="238">
        <v>2</v>
      </c>
    </row>
    <row r="365" spans="1:40" s="131" customFormat="1" x14ac:dyDescent="0.2">
      <c r="A365" s="195" t="s">
        <v>162</v>
      </c>
      <c r="B365" s="218" t="s">
        <v>110</v>
      </c>
      <c r="C365" s="153" t="s">
        <v>820</v>
      </c>
      <c r="D365" s="154" t="s">
        <v>136</v>
      </c>
      <c r="E365" s="154">
        <v>4</v>
      </c>
      <c r="F365" s="155">
        <v>0</v>
      </c>
      <c r="G365" s="155">
        <f t="shared" si="23"/>
        <v>0</v>
      </c>
      <c r="H365" s="156"/>
      <c r="I365" s="157"/>
      <c r="J365" s="158"/>
      <c r="AN365" s="238">
        <v>2</v>
      </c>
    </row>
    <row r="366" spans="1:40" s="131" customFormat="1" x14ac:dyDescent="0.2">
      <c r="A366" s="195" t="s">
        <v>162</v>
      </c>
      <c r="B366" s="218" t="s">
        <v>111</v>
      </c>
      <c r="C366" s="153" t="s">
        <v>132</v>
      </c>
      <c r="D366" s="154" t="s">
        <v>133</v>
      </c>
      <c r="E366" s="154">
        <v>8</v>
      </c>
      <c r="F366" s="155">
        <v>0</v>
      </c>
      <c r="G366" s="155">
        <f t="shared" si="23"/>
        <v>0</v>
      </c>
      <c r="H366" s="156"/>
      <c r="I366" s="157"/>
      <c r="J366" s="158" t="s">
        <v>966</v>
      </c>
      <c r="AN366" s="238">
        <v>2</v>
      </c>
    </row>
    <row r="367" spans="1:40" s="131" customFormat="1" x14ac:dyDescent="0.2">
      <c r="A367" s="195" t="s">
        <v>162</v>
      </c>
      <c r="B367" s="218" t="s">
        <v>112</v>
      </c>
      <c r="C367" s="153" t="s">
        <v>134</v>
      </c>
      <c r="D367" s="154" t="s">
        <v>133</v>
      </c>
      <c r="E367" s="154">
        <v>2</v>
      </c>
      <c r="F367" s="155">
        <v>0</v>
      </c>
      <c r="G367" s="155">
        <f t="shared" si="23"/>
        <v>0</v>
      </c>
      <c r="H367" s="156"/>
      <c r="I367" s="157"/>
      <c r="J367" s="158" t="s">
        <v>966</v>
      </c>
      <c r="AN367" s="238">
        <v>2</v>
      </c>
    </row>
    <row r="368" spans="1:40" s="131" customFormat="1" x14ac:dyDescent="0.2">
      <c r="A368" s="195" t="s">
        <v>162</v>
      </c>
      <c r="B368" s="218" t="s">
        <v>113</v>
      </c>
      <c r="C368" s="153" t="s">
        <v>135</v>
      </c>
      <c r="D368" s="154" t="s">
        <v>133</v>
      </c>
      <c r="E368" s="154">
        <v>12</v>
      </c>
      <c r="F368" s="155">
        <v>0</v>
      </c>
      <c r="G368" s="155">
        <f t="shared" si="23"/>
        <v>0</v>
      </c>
      <c r="H368" s="156"/>
      <c r="I368" s="198" t="s">
        <v>844</v>
      </c>
      <c r="J368" s="158" t="s">
        <v>966</v>
      </c>
      <c r="AN368" s="238">
        <v>2</v>
      </c>
    </row>
    <row r="369" spans="1:40" s="131" customFormat="1" x14ac:dyDescent="0.2">
      <c r="A369" s="195" t="s">
        <v>162</v>
      </c>
      <c r="B369" s="218" t="s">
        <v>114</v>
      </c>
      <c r="C369" s="153" t="s">
        <v>137</v>
      </c>
      <c r="D369" s="154" t="s">
        <v>137</v>
      </c>
      <c r="E369" s="154">
        <v>4</v>
      </c>
      <c r="F369" s="155">
        <v>0.35</v>
      </c>
      <c r="G369" s="155">
        <f t="shared" si="23"/>
        <v>1.4</v>
      </c>
      <c r="H369" s="156"/>
      <c r="I369" s="157"/>
      <c r="J369" s="158" t="s">
        <v>970</v>
      </c>
      <c r="AN369" s="238">
        <v>2</v>
      </c>
    </row>
    <row r="370" spans="1:40" s="131" customFormat="1" x14ac:dyDescent="0.2">
      <c r="A370" s="195" t="s">
        <v>162</v>
      </c>
      <c r="B370" s="218" t="s">
        <v>115</v>
      </c>
      <c r="C370" s="153" t="s">
        <v>138</v>
      </c>
      <c r="D370" s="154" t="s">
        <v>139</v>
      </c>
      <c r="E370" s="154">
        <v>2</v>
      </c>
      <c r="F370" s="155">
        <v>0.03</v>
      </c>
      <c r="G370" s="155">
        <f t="shared" si="23"/>
        <v>0.06</v>
      </c>
      <c r="H370" s="156"/>
      <c r="I370" s="157"/>
      <c r="J370" s="158"/>
      <c r="AN370" s="238">
        <v>2</v>
      </c>
    </row>
    <row r="371" spans="1:40" s="131" customFormat="1" x14ac:dyDescent="0.2">
      <c r="A371" s="195" t="s">
        <v>162</v>
      </c>
      <c r="B371" s="218" t="s">
        <v>116</v>
      </c>
      <c r="C371" s="153" t="s">
        <v>140</v>
      </c>
      <c r="D371" s="154" t="s">
        <v>141</v>
      </c>
      <c r="E371" s="154">
        <v>2</v>
      </c>
      <c r="F371" s="155">
        <v>0.03</v>
      </c>
      <c r="G371" s="155">
        <f t="shared" si="23"/>
        <v>0.06</v>
      </c>
      <c r="H371" s="156"/>
      <c r="I371" s="157"/>
      <c r="J371" s="158" t="s">
        <v>964</v>
      </c>
      <c r="AN371" s="238">
        <v>2</v>
      </c>
    </row>
    <row r="372" spans="1:40" s="131" customFormat="1" x14ac:dyDescent="0.2">
      <c r="A372" s="195" t="s">
        <v>162</v>
      </c>
      <c r="B372" s="218" t="s">
        <v>117</v>
      </c>
      <c r="C372" s="153" t="s">
        <v>378</v>
      </c>
      <c r="D372" s="154" t="s">
        <v>821</v>
      </c>
      <c r="E372" s="154">
        <v>4</v>
      </c>
      <c r="F372" s="155">
        <v>0.01</v>
      </c>
      <c r="G372" s="155">
        <f t="shared" si="23"/>
        <v>0.04</v>
      </c>
      <c r="H372" s="156"/>
      <c r="I372" s="157" t="s">
        <v>844</v>
      </c>
      <c r="J372" s="158"/>
      <c r="AN372" s="238">
        <v>2</v>
      </c>
    </row>
    <row r="373" spans="1:40" x14ac:dyDescent="0.2">
      <c r="A373" s="224" t="s">
        <v>162</v>
      </c>
      <c r="B373" s="218" t="s">
        <v>117</v>
      </c>
      <c r="C373" s="153" t="s">
        <v>962</v>
      </c>
      <c r="D373" s="154" t="s">
        <v>963</v>
      </c>
      <c r="E373" s="154">
        <v>4</v>
      </c>
      <c r="F373" s="155">
        <v>0.01</v>
      </c>
      <c r="G373" s="155">
        <f t="shared" si="23"/>
        <v>0.04</v>
      </c>
      <c r="H373" s="156"/>
      <c r="I373" s="157" t="s">
        <v>859</v>
      </c>
      <c r="J373" s="158" t="s">
        <v>964</v>
      </c>
      <c r="K373" s="60"/>
      <c r="L373" s="24"/>
      <c r="M373" s="25"/>
      <c r="N373" s="132"/>
      <c r="O373" s="26"/>
      <c r="P373" s="45"/>
      <c r="Q373" s="34"/>
      <c r="R373" s="30"/>
      <c r="S373" s="36"/>
      <c r="T373" s="31"/>
      <c r="U373" s="23"/>
      <c r="V373" s="133"/>
      <c r="W373" s="133"/>
      <c r="X373" s="133"/>
      <c r="Y373" s="133"/>
      <c r="Z373" s="133"/>
      <c r="AA373" s="133"/>
      <c r="AB373" s="133"/>
      <c r="AC373" s="133"/>
      <c r="AD373" s="133"/>
      <c r="AE373" s="133"/>
      <c r="AF373" s="133"/>
      <c r="AG373" s="151"/>
      <c r="AH373" s="151"/>
      <c r="AI373" s="151"/>
      <c r="AJ373" s="151"/>
      <c r="AK373" s="151"/>
      <c r="AL373" s="151"/>
      <c r="AM373" s="152"/>
      <c r="AN373" s="1">
        <v>2</v>
      </c>
    </row>
    <row r="374" spans="1:40" s="131" customFormat="1" x14ac:dyDescent="0.2">
      <c r="A374" s="195" t="s">
        <v>162</v>
      </c>
      <c r="B374" s="218" t="s">
        <v>118</v>
      </c>
      <c r="C374" s="153" t="s">
        <v>180</v>
      </c>
      <c r="D374" s="154" t="s">
        <v>776</v>
      </c>
      <c r="E374" s="154">
        <v>4</v>
      </c>
      <c r="F374" s="155">
        <v>0</v>
      </c>
      <c r="G374" s="155">
        <f t="shared" si="23"/>
        <v>0</v>
      </c>
      <c r="H374" s="156"/>
      <c r="I374" s="157"/>
      <c r="J374" s="158"/>
      <c r="AN374" s="249">
        <v>2</v>
      </c>
    </row>
    <row r="375" spans="1:40" s="131" customFormat="1" ht="25.5" x14ac:dyDescent="0.2">
      <c r="A375" s="195" t="s">
        <v>162</v>
      </c>
      <c r="B375" s="218" t="s">
        <v>155</v>
      </c>
      <c r="C375" s="153" t="s">
        <v>144</v>
      </c>
      <c r="D375" s="154" t="s">
        <v>145</v>
      </c>
      <c r="E375" s="154">
        <v>4</v>
      </c>
      <c r="F375" s="155">
        <v>0.12</v>
      </c>
      <c r="G375" s="155">
        <f t="shared" si="23"/>
        <v>0.48</v>
      </c>
      <c r="H375" s="156">
        <v>1.4300999999999999</v>
      </c>
      <c r="I375" s="157"/>
      <c r="J375" s="158" t="s">
        <v>971</v>
      </c>
      <c r="AN375" s="249">
        <v>2</v>
      </c>
    </row>
    <row r="376" spans="1:40" s="131" customFormat="1" ht="25.5" x14ac:dyDescent="0.2">
      <c r="A376" s="195" t="s">
        <v>162</v>
      </c>
      <c r="B376" s="218" t="s">
        <v>156</v>
      </c>
      <c r="C376" s="153" t="s">
        <v>822</v>
      </c>
      <c r="D376" s="154" t="s">
        <v>787</v>
      </c>
      <c r="E376" s="154">
        <v>4</v>
      </c>
      <c r="F376" s="155">
        <v>0.03</v>
      </c>
      <c r="G376" s="155">
        <f t="shared" si="23"/>
        <v>0.12</v>
      </c>
      <c r="H376" s="156"/>
      <c r="I376" s="198" t="s">
        <v>844</v>
      </c>
      <c r="J376" s="158"/>
      <c r="AN376" s="249">
        <v>2</v>
      </c>
    </row>
    <row r="377" spans="1:40" s="131" customFormat="1" ht="25.5" x14ac:dyDescent="0.2">
      <c r="A377" s="195" t="s">
        <v>162</v>
      </c>
      <c r="B377" s="218" t="s">
        <v>157</v>
      </c>
      <c r="C377" s="153" t="s">
        <v>823</v>
      </c>
      <c r="D377" s="154" t="s">
        <v>787</v>
      </c>
      <c r="E377" s="154">
        <v>4</v>
      </c>
      <c r="F377" s="155">
        <v>0.02</v>
      </c>
      <c r="G377" s="155">
        <f t="shared" si="23"/>
        <v>0.08</v>
      </c>
      <c r="H377" s="156"/>
      <c r="I377" s="198" t="s">
        <v>844</v>
      </c>
      <c r="J377" s="158"/>
      <c r="AN377" s="249">
        <v>2</v>
      </c>
    </row>
    <row r="378" spans="1:40" s="131" customFormat="1" ht="25.5" x14ac:dyDescent="0.2">
      <c r="A378" s="195" t="s">
        <v>162</v>
      </c>
      <c r="B378" s="218" t="s">
        <v>158</v>
      </c>
      <c r="C378" s="153" t="s">
        <v>824</v>
      </c>
      <c r="D378" s="154" t="s">
        <v>825</v>
      </c>
      <c r="E378" s="154">
        <v>6</v>
      </c>
      <c r="F378" s="155">
        <v>0.01</v>
      </c>
      <c r="G378" s="155">
        <f t="shared" si="23"/>
        <v>0.06</v>
      </c>
      <c r="H378" s="156"/>
      <c r="I378" s="157"/>
      <c r="J378" s="158"/>
      <c r="AN378" s="249">
        <v>2</v>
      </c>
    </row>
    <row r="379" spans="1:40" s="131" customFormat="1" ht="25.5" x14ac:dyDescent="0.2">
      <c r="A379" s="195" t="s">
        <v>162</v>
      </c>
      <c r="B379" s="218" t="s">
        <v>159</v>
      </c>
      <c r="C379" s="153" t="s">
        <v>826</v>
      </c>
      <c r="D379" s="154" t="s">
        <v>787</v>
      </c>
      <c r="E379" s="154">
        <v>6</v>
      </c>
      <c r="F379" s="155">
        <v>0</v>
      </c>
      <c r="G379" s="155">
        <f t="shared" si="23"/>
        <v>0</v>
      </c>
      <c r="H379" s="156"/>
      <c r="I379" s="157"/>
      <c r="J379" s="158"/>
      <c r="AN379" s="249">
        <v>2</v>
      </c>
    </row>
    <row r="380" spans="1:40" s="131" customFormat="1" ht="25.5" x14ac:dyDescent="0.2">
      <c r="A380" s="195" t="s">
        <v>162</v>
      </c>
      <c r="B380" s="218" t="s">
        <v>159</v>
      </c>
      <c r="C380" s="153" t="s">
        <v>826</v>
      </c>
      <c r="D380" s="154" t="s">
        <v>787</v>
      </c>
      <c r="E380" s="154">
        <v>4</v>
      </c>
      <c r="F380" s="155">
        <v>0</v>
      </c>
      <c r="G380" s="155">
        <f t="shared" ref="G380" si="24">F380*E380</f>
        <v>0</v>
      </c>
      <c r="H380" s="156"/>
      <c r="I380" s="157" t="s">
        <v>846</v>
      </c>
      <c r="J380" s="158"/>
      <c r="AN380" s="249">
        <v>2</v>
      </c>
    </row>
    <row r="381" spans="1:40" s="131" customFormat="1" ht="25.5" x14ac:dyDescent="0.2">
      <c r="A381" s="195" t="s">
        <v>162</v>
      </c>
      <c r="B381" s="218" t="s">
        <v>160</v>
      </c>
      <c r="C381" s="153" t="s">
        <v>827</v>
      </c>
      <c r="D381" s="154" t="s">
        <v>143</v>
      </c>
      <c r="E381" s="154">
        <v>4</v>
      </c>
      <c r="F381" s="155">
        <v>0</v>
      </c>
      <c r="G381" s="155">
        <f t="shared" si="23"/>
        <v>0</v>
      </c>
      <c r="H381" s="156"/>
      <c r="I381" s="157" t="s">
        <v>844</v>
      </c>
      <c r="J381" s="158"/>
      <c r="AN381" s="249">
        <v>2</v>
      </c>
    </row>
    <row r="382" spans="1:40" s="131" customFormat="1" x14ac:dyDescent="0.2">
      <c r="A382" s="195" t="s">
        <v>162</v>
      </c>
      <c r="B382" s="218" t="s">
        <v>161</v>
      </c>
      <c r="C382" s="153" t="s">
        <v>146</v>
      </c>
      <c r="D382" s="154" t="s">
        <v>147</v>
      </c>
      <c r="E382" s="154">
        <v>4</v>
      </c>
      <c r="F382" s="155">
        <v>0.04</v>
      </c>
      <c r="G382" s="155">
        <f t="shared" si="23"/>
        <v>0.16</v>
      </c>
      <c r="H382" s="156">
        <v>1.4300999999999999</v>
      </c>
      <c r="I382" s="157"/>
      <c r="J382" s="158" t="s">
        <v>973</v>
      </c>
      <c r="AN382" s="249">
        <v>2</v>
      </c>
    </row>
    <row r="383" spans="1:40" s="131" customFormat="1" ht="25.5" x14ac:dyDescent="0.2">
      <c r="A383" s="195" t="s">
        <v>162</v>
      </c>
      <c r="B383" s="218" t="s">
        <v>274</v>
      </c>
      <c r="C383" s="153" t="s">
        <v>148</v>
      </c>
      <c r="D383" s="154" t="s">
        <v>828</v>
      </c>
      <c r="E383" s="154">
        <v>8</v>
      </c>
      <c r="F383" s="155">
        <v>0.02</v>
      </c>
      <c r="G383" s="155">
        <f t="shared" si="23"/>
        <v>0.16</v>
      </c>
      <c r="H383" s="156"/>
      <c r="I383" s="198" t="s">
        <v>844</v>
      </c>
      <c r="J383" s="158"/>
      <c r="AN383" s="249">
        <v>2</v>
      </c>
    </row>
    <row r="384" spans="1:40" s="131" customFormat="1" x14ac:dyDescent="0.2">
      <c r="A384" s="195" t="s">
        <v>162</v>
      </c>
      <c r="B384" s="218" t="s">
        <v>275</v>
      </c>
      <c r="C384" s="153" t="s">
        <v>149</v>
      </c>
      <c r="D384" s="154" t="s">
        <v>150</v>
      </c>
      <c r="E384" s="154">
        <v>4</v>
      </c>
      <c r="F384" s="155">
        <v>0</v>
      </c>
      <c r="G384" s="155">
        <f t="shared" si="23"/>
        <v>0</v>
      </c>
      <c r="H384" s="156"/>
      <c r="I384" s="157" t="s">
        <v>844</v>
      </c>
      <c r="J384" s="158"/>
      <c r="AN384" s="249">
        <v>2</v>
      </c>
    </row>
    <row r="385" spans="1:40" s="131" customFormat="1" x14ac:dyDescent="0.2">
      <c r="A385" s="195" t="s">
        <v>162</v>
      </c>
      <c r="B385" s="218" t="s">
        <v>276</v>
      </c>
      <c r="C385" s="153" t="s">
        <v>151</v>
      </c>
      <c r="D385" s="154" t="s">
        <v>152</v>
      </c>
      <c r="E385" s="154">
        <v>6</v>
      </c>
      <c r="F385" s="155">
        <v>0</v>
      </c>
      <c r="G385" s="155">
        <f t="shared" si="23"/>
        <v>0</v>
      </c>
      <c r="H385" s="156"/>
      <c r="I385" s="157"/>
      <c r="J385" s="158"/>
      <c r="AN385" s="249">
        <v>2</v>
      </c>
    </row>
    <row r="386" spans="1:40" s="131" customFormat="1" x14ac:dyDescent="0.2">
      <c r="A386" s="195" t="s">
        <v>162</v>
      </c>
      <c r="B386" s="218" t="s">
        <v>276</v>
      </c>
      <c r="C386" s="153" t="s">
        <v>151</v>
      </c>
      <c r="D386" s="154" t="s">
        <v>152</v>
      </c>
      <c r="E386" s="154">
        <v>4</v>
      </c>
      <c r="F386" s="155">
        <v>0</v>
      </c>
      <c r="G386" s="155">
        <f t="shared" ref="G386" si="25">F386*E386</f>
        <v>0</v>
      </c>
      <c r="H386" s="156"/>
      <c r="I386" s="157" t="s">
        <v>846</v>
      </c>
      <c r="J386" s="158"/>
      <c r="AN386" s="249">
        <v>2</v>
      </c>
    </row>
    <row r="387" spans="1:40" s="131" customFormat="1" x14ac:dyDescent="0.2">
      <c r="A387" s="195" t="s">
        <v>162</v>
      </c>
      <c r="B387" s="218" t="s">
        <v>277</v>
      </c>
      <c r="C387" s="153" t="s">
        <v>221</v>
      </c>
      <c r="D387" s="154" t="s">
        <v>829</v>
      </c>
      <c r="E387" s="154">
        <v>2</v>
      </c>
      <c r="F387" s="155">
        <v>0</v>
      </c>
      <c r="G387" s="155">
        <f t="shared" si="23"/>
        <v>0</v>
      </c>
      <c r="H387" s="156"/>
      <c r="I387" s="157"/>
      <c r="J387" s="158"/>
      <c r="AN387" s="249">
        <v>2</v>
      </c>
    </row>
    <row r="388" spans="1:40" s="131" customFormat="1" x14ac:dyDescent="0.2">
      <c r="A388" s="195" t="s">
        <v>162</v>
      </c>
      <c r="B388" s="218" t="s">
        <v>298</v>
      </c>
      <c r="C388" s="153" t="s">
        <v>153</v>
      </c>
      <c r="D388" s="154" t="s">
        <v>154</v>
      </c>
      <c r="E388" s="154">
        <v>6</v>
      </c>
      <c r="F388" s="155">
        <v>0</v>
      </c>
      <c r="G388" s="155">
        <f t="shared" si="23"/>
        <v>0</v>
      </c>
      <c r="H388" s="156"/>
      <c r="I388" s="157"/>
      <c r="J388" s="158"/>
      <c r="AN388" s="249">
        <v>2</v>
      </c>
    </row>
    <row r="389" spans="1:40" s="131" customFormat="1" x14ac:dyDescent="0.2">
      <c r="A389" s="195" t="s">
        <v>162</v>
      </c>
      <c r="B389" s="218" t="s">
        <v>356</v>
      </c>
      <c r="C389" s="153" t="s">
        <v>830</v>
      </c>
      <c r="D389" s="154" t="s">
        <v>831</v>
      </c>
      <c r="E389" s="154">
        <v>2</v>
      </c>
      <c r="F389" s="155">
        <v>0.01</v>
      </c>
      <c r="G389" s="155">
        <f t="shared" si="23"/>
        <v>0.02</v>
      </c>
      <c r="H389" s="156"/>
      <c r="I389" s="157"/>
      <c r="J389" s="158"/>
      <c r="AN389" s="249">
        <v>2</v>
      </c>
    </row>
    <row r="390" spans="1:40" ht="15.6" customHeight="1" x14ac:dyDescent="0.2">
      <c r="A390" s="224" t="s">
        <v>162</v>
      </c>
      <c r="B390" s="218" t="s">
        <v>371</v>
      </c>
      <c r="C390" s="159">
        <v>70163</v>
      </c>
      <c r="D390" s="160" t="s">
        <v>278</v>
      </c>
      <c r="E390" s="160">
        <v>1</v>
      </c>
      <c r="F390" s="161"/>
      <c r="G390" s="161"/>
      <c r="H390" s="162"/>
      <c r="I390" s="171"/>
      <c r="J390" s="163" t="s">
        <v>273</v>
      </c>
      <c r="K390" s="60"/>
      <c r="L390" s="24"/>
      <c r="M390" s="25"/>
      <c r="N390" s="132"/>
      <c r="O390" s="26"/>
      <c r="P390" s="45"/>
      <c r="Q390" s="34"/>
      <c r="R390" s="30"/>
      <c r="S390" s="36"/>
      <c r="T390" s="31"/>
      <c r="U390" s="23"/>
      <c r="V390" s="133"/>
      <c r="W390" s="133"/>
      <c r="X390" s="133"/>
      <c r="Y390" s="133"/>
      <c r="Z390" s="133"/>
      <c r="AA390" s="133"/>
      <c r="AB390" s="133"/>
      <c r="AC390" s="133"/>
      <c r="AD390" s="133"/>
      <c r="AE390" s="133"/>
      <c r="AF390" s="133"/>
      <c r="AG390" s="151"/>
      <c r="AH390" s="151"/>
      <c r="AI390" s="151"/>
      <c r="AJ390" s="151"/>
      <c r="AK390" s="151"/>
      <c r="AL390" s="151"/>
      <c r="AM390" s="152"/>
      <c r="AN390" s="1">
        <v>2</v>
      </c>
    </row>
    <row r="391" spans="1:40" ht="12" customHeight="1" x14ac:dyDescent="0.2">
      <c r="A391" s="224" t="s">
        <v>162</v>
      </c>
      <c r="B391" s="218" t="s">
        <v>373</v>
      </c>
      <c r="C391" s="159">
        <v>65539</v>
      </c>
      <c r="D391" s="160" t="s">
        <v>279</v>
      </c>
      <c r="E391" s="160">
        <v>1</v>
      </c>
      <c r="F391" s="161"/>
      <c r="G391" s="161"/>
      <c r="H391" s="162"/>
      <c r="I391" s="171"/>
      <c r="J391" s="163" t="s">
        <v>273</v>
      </c>
      <c r="K391" s="60"/>
      <c r="L391" s="24"/>
      <c r="M391" s="25"/>
      <c r="N391" s="132"/>
      <c r="O391" s="26"/>
      <c r="P391" s="45"/>
      <c r="Q391" s="34"/>
      <c r="R391" s="30"/>
      <c r="S391" s="36"/>
      <c r="T391" s="31"/>
      <c r="U391" s="23"/>
      <c r="V391" s="133"/>
      <c r="W391" s="133"/>
      <c r="X391" s="133"/>
      <c r="Y391" s="133"/>
      <c r="Z391" s="133"/>
      <c r="AA391" s="133"/>
      <c r="AB391" s="133"/>
      <c r="AC391" s="133"/>
      <c r="AD391" s="133"/>
      <c r="AE391" s="133"/>
      <c r="AF391" s="133"/>
      <c r="AG391" s="151"/>
      <c r="AH391" s="151"/>
      <c r="AI391" s="151"/>
      <c r="AJ391" s="151"/>
      <c r="AK391" s="151"/>
      <c r="AL391" s="151"/>
      <c r="AM391" s="152"/>
      <c r="AN391" s="1">
        <v>2</v>
      </c>
    </row>
    <row r="392" spans="1:40" ht="14.45" customHeight="1" x14ac:dyDescent="0.2">
      <c r="A392" s="224" t="s">
        <v>162</v>
      </c>
      <c r="B392" s="218" t="s">
        <v>374</v>
      </c>
      <c r="C392" s="159">
        <v>69972</v>
      </c>
      <c r="D392" s="160" t="s">
        <v>280</v>
      </c>
      <c r="E392" s="160">
        <v>1</v>
      </c>
      <c r="F392" s="161"/>
      <c r="G392" s="161"/>
      <c r="H392" s="162"/>
      <c r="I392" s="171"/>
      <c r="J392" s="163" t="s">
        <v>273</v>
      </c>
      <c r="K392" s="60"/>
      <c r="L392" s="24"/>
      <c r="M392" s="25"/>
      <c r="N392" s="132"/>
      <c r="O392" s="26"/>
      <c r="P392" s="45"/>
      <c r="Q392" s="34"/>
      <c r="R392" s="30"/>
      <c r="S392" s="36"/>
      <c r="T392" s="31"/>
      <c r="U392" s="23"/>
      <c r="V392" s="133"/>
      <c r="W392" s="133"/>
      <c r="X392" s="133"/>
      <c r="Y392" s="133"/>
      <c r="Z392" s="133"/>
      <c r="AA392" s="133"/>
      <c r="AB392" s="133"/>
      <c r="AC392" s="133"/>
      <c r="AD392" s="133"/>
      <c r="AE392" s="133"/>
      <c r="AF392" s="133"/>
      <c r="AG392" s="151"/>
      <c r="AH392" s="151"/>
      <c r="AI392" s="151"/>
      <c r="AJ392" s="151"/>
      <c r="AK392" s="151"/>
      <c r="AL392" s="151"/>
      <c r="AM392" s="152"/>
      <c r="AN392" s="1">
        <v>2</v>
      </c>
    </row>
    <row r="393" spans="1:40" ht="13.15" customHeight="1" x14ac:dyDescent="0.2">
      <c r="A393" s="224" t="s">
        <v>162</v>
      </c>
      <c r="B393" s="218" t="s">
        <v>375</v>
      </c>
      <c r="C393" s="223">
        <v>45588</v>
      </c>
      <c r="D393" s="154" t="s">
        <v>881</v>
      </c>
      <c r="E393" s="160">
        <v>1</v>
      </c>
      <c r="F393" s="161"/>
      <c r="G393" s="161"/>
      <c r="H393" s="162"/>
      <c r="I393" s="171"/>
      <c r="J393" s="163" t="s">
        <v>273</v>
      </c>
      <c r="K393" s="60"/>
      <c r="L393" s="24"/>
      <c r="M393" s="25"/>
      <c r="N393" s="132"/>
      <c r="O393" s="26"/>
      <c r="P393" s="45"/>
      <c r="Q393" s="34"/>
      <c r="R393" s="30"/>
      <c r="S393" s="36"/>
      <c r="T393" s="31"/>
      <c r="U393" s="23"/>
      <c r="V393" s="133"/>
      <c r="W393" s="133"/>
      <c r="X393" s="133"/>
      <c r="Y393" s="133"/>
      <c r="Z393" s="133"/>
      <c r="AA393" s="133"/>
      <c r="AB393" s="133"/>
      <c r="AC393" s="133"/>
      <c r="AD393" s="133"/>
      <c r="AE393" s="133"/>
      <c r="AF393" s="133"/>
      <c r="AG393" s="151"/>
      <c r="AH393" s="151"/>
      <c r="AI393" s="151"/>
      <c r="AJ393" s="151"/>
      <c r="AK393" s="151"/>
      <c r="AL393" s="151"/>
      <c r="AM393" s="152"/>
      <c r="AN393" s="1">
        <v>2</v>
      </c>
    </row>
    <row r="394" spans="1:40" ht="13.9" customHeight="1" x14ac:dyDescent="0.2">
      <c r="A394" s="224" t="s">
        <v>162</v>
      </c>
      <c r="B394" s="218" t="s">
        <v>376</v>
      </c>
      <c r="C394" s="159">
        <v>57559</v>
      </c>
      <c r="D394" s="160" t="s">
        <v>281</v>
      </c>
      <c r="E394" s="160">
        <v>2</v>
      </c>
      <c r="F394" s="161"/>
      <c r="G394" s="161"/>
      <c r="H394" s="162"/>
      <c r="I394" s="171"/>
      <c r="J394" s="163" t="s">
        <v>273</v>
      </c>
      <c r="K394" s="60"/>
      <c r="L394" s="24"/>
      <c r="M394" s="25"/>
      <c r="N394" s="132"/>
      <c r="O394" s="26"/>
      <c r="P394" s="45"/>
      <c r="Q394" s="34"/>
      <c r="R394" s="30"/>
      <c r="S394" s="36"/>
      <c r="T394" s="31"/>
      <c r="U394" s="23"/>
      <c r="V394" s="133"/>
      <c r="W394" s="133"/>
      <c r="X394" s="133"/>
      <c r="Y394" s="133"/>
      <c r="Z394" s="133"/>
      <c r="AA394" s="133"/>
      <c r="AB394" s="133"/>
      <c r="AC394" s="133"/>
      <c r="AD394" s="133"/>
      <c r="AE394" s="133"/>
      <c r="AF394" s="133"/>
      <c r="AG394" s="151"/>
      <c r="AH394" s="151"/>
      <c r="AI394" s="151"/>
      <c r="AJ394" s="151"/>
      <c r="AK394" s="151"/>
      <c r="AL394" s="151"/>
      <c r="AM394" s="152"/>
      <c r="AN394" s="1">
        <v>2</v>
      </c>
    </row>
    <row r="395" spans="1:40" ht="14.45" customHeight="1" x14ac:dyDescent="0.2">
      <c r="A395" s="224" t="s">
        <v>162</v>
      </c>
      <c r="B395" s="218" t="s">
        <v>377</v>
      </c>
      <c r="C395" s="153">
        <v>58189</v>
      </c>
      <c r="D395" s="154" t="s">
        <v>882</v>
      </c>
      <c r="E395" s="154">
        <v>1</v>
      </c>
      <c r="F395" s="161"/>
      <c r="G395" s="161"/>
      <c r="H395" s="162"/>
      <c r="I395" s="194"/>
      <c r="J395" s="163" t="s">
        <v>273</v>
      </c>
      <c r="K395" s="60"/>
      <c r="L395" s="24"/>
      <c r="M395" s="25"/>
      <c r="N395" s="132"/>
      <c r="O395" s="26"/>
      <c r="P395" s="45"/>
      <c r="Q395" s="34"/>
      <c r="R395" s="30"/>
      <c r="S395" s="36"/>
      <c r="T395" s="31"/>
      <c r="U395" s="23"/>
      <c r="V395" s="133"/>
      <c r="W395" s="133"/>
      <c r="X395" s="133"/>
      <c r="Y395" s="133"/>
      <c r="Z395" s="133"/>
      <c r="AA395" s="133"/>
      <c r="AB395" s="133"/>
      <c r="AC395" s="133"/>
      <c r="AD395" s="133"/>
      <c r="AE395" s="133"/>
      <c r="AF395" s="133"/>
      <c r="AG395" s="151"/>
      <c r="AH395" s="151"/>
      <c r="AI395" s="151"/>
      <c r="AJ395" s="151"/>
      <c r="AK395" s="151"/>
      <c r="AL395" s="151"/>
      <c r="AM395" s="152"/>
      <c r="AN395" s="1">
        <v>2</v>
      </c>
    </row>
    <row r="396" spans="1:40" ht="11.25" customHeight="1" outlineLevel="1" x14ac:dyDescent="0.2">
      <c r="A396" s="225" t="s">
        <v>162</v>
      </c>
      <c r="B396" s="218" t="s">
        <v>380</v>
      </c>
      <c r="C396" s="186" t="s">
        <v>368</v>
      </c>
      <c r="D396" s="154" t="s">
        <v>883</v>
      </c>
      <c r="E396" s="154">
        <v>1</v>
      </c>
      <c r="F396" s="155">
        <v>0.5</v>
      </c>
      <c r="G396" s="155">
        <f t="shared" ref="G396" si="26">F396*E396</f>
        <v>0.5</v>
      </c>
      <c r="H396" s="156"/>
      <c r="I396" s="171"/>
      <c r="J396" s="179" t="s">
        <v>369</v>
      </c>
      <c r="K396" s="180"/>
      <c r="L396" s="181"/>
      <c r="M396" s="178"/>
      <c r="N396" s="165"/>
      <c r="O396" s="182"/>
      <c r="P396" s="182"/>
      <c r="Q396" s="178"/>
      <c r="R396" s="183"/>
      <c r="S396" s="184"/>
      <c r="T396" s="185"/>
      <c r="U396" s="178"/>
      <c r="AF396" s="9"/>
      <c r="AN396" s="1">
        <v>2</v>
      </c>
    </row>
    <row r="397" spans="1:40" s="192" customFormat="1" ht="24.75" customHeight="1" outlineLevel="1" x14ac:dyDescent="0.2">
      <c r="A397" s="225" t="s">
        <v>162</v>
      </c>
      <c r="B397" s="218" t="s">
        <v>412</v>
      </c>
      <c r="C397" s="193" t="s">
        <v>886</v>
      </c>
      <c r="D397" s="154" t="s">
        <v>887</v>
      </c>
      <c r="E397" s="154">
        <v>1</v>
      </c>
      <c r="F397" s="155"/>
      <c r="G397" s="155"/>
      <c r="H397" s="156"/>
      <c r="I397" s="171"/>
      <c r="J397" s="179" t="s">
        <v>417</v>
      </c>
      <c r="K397" s="187"/>
      <c r="L397" s="188"/>
      <c r="M397" s="189"/>
      <c r="N397" s="190"/>
      <c r="O397" s="191"/>
      <c r="P397" s="191"/>
      <c r="Q397" s="189"/>
      <c r="R397" s="185"/>
      <c r="S397" s="184"/>
      <c r="T397" s="185"/>
      <c r="U397" s="189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N397" s="192">
        <v>2</v>
      </c>
    </row>
    <row r="398" spans="1:40" s="192" customFormat="1" ht="24.75" customHeight="1" outlineLevel="1" x14ac:dyDescent="0.2">
      <c r="A398" s="225" t="s">
        <v>162</v>
      </c>
      <c r="B398" s="218" t="s">
        <v>413</v>
      </c>
      <c r="C398" s="226" t="s">
        <v>884</v>
      </c>
      <c r="D398" s="160" t="s">
        <v>888</v>
      </c>
      <c r="E398" s="160">
        <v>1</v>
      </c>
      <c r="F398" s="161"/>
      <c r="G398" s="161"/>
      <c r="H398" s="162"/>
      <c r="I398" s="171"/>
      <c r="J398" s="227" t="s">
        <v>885</v>
      </c>
      <c r="K398" s="187"/>
      <c r="L398" s="188"/>
      <c r="M398" s="189"/>
      <c r="N398" s="190"/>
      <c r="O398" s="191"/>
      <c r="P398" s="191"/>
      <c r="Q398" s="189"/>
      <c r="R398" s="185"/>
      <c r="S398" s="184"/>
      <c r="T398" s="185"/>
      <c r="U398" s="189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N398" s="192">
        <v>2</v>
      </c>
    </row>
    <row r="399" spans="1:40" s="192" customFormat="1" ht="24.75" customHeight="1" x14ac:dyDescent="0.2">
      <c r="A399" s="228" t="s">
        <v>162</v>
      </c>
      <c r="B399" s="213" t="s">
        <v>426</v>
      </c>
      <c r="C399" s="153" t="s">
        <v>418</v>
      </c>
      <c r="D399" s="154" t="s">
        <v>419</v>
      </c>
      <c r="E399" s="160">
        <v>2</v>
      </c>
      <c r="F399" s="155"/>
      <c r="G399" s="155"/>
      <c r="H399" s="156"/>
      <c r="I399" s="157"/>
      <c r="J399" s="179" t="s">
        <v>414</v>
      </c>
      <c r="K399" s="187"/>
      <c r="L399" s="188"/>
      <c r="M399" s="189"/>
      <c r="N399" s="190"/>
      <c r="O399" s="191"/>
      <c r="P399" s="191"/>
      <c r="Q399" s="189"/>
      <c r="R399" s="185"/>
      <c r="S399" s="184"/>
      <c r="T399" s="185"/>
      <c r="U399" s="189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N399" s="192">
        <v>2</v>
      </c>
    </row>
    <row r="400" spans="1:40" s="192" customFormat="1" ht="24.75" customHeight="1" x14ac:dyDescent="0.2">
      <c r="A400" s="228" t="s">
        <v>162</v>
      </c>
      <c r="B400" s="213" t="s">
        <v>427</v>
      </c>
      <c r="C400" s="153" t="s">
        <v>420</v>
      </c>
      <c r="D400" s="154" t="s">
        <v>421</v>
      </c>
      <c r="E400" s="160">
        <v>1</v>
      </c>
      <c r="F400" s="155"/>
      <c r="G400" s="155"/>
      <c r="H400" s="156"/>
      <c r="I400" s="157"/>
      <c r="J400" s="179" t="s">
        <v>414</v>
      </c>
      <c r="K400" s="187"/>
      <c r="L400" s="188"/>
      <c r="M400" s="189"/>
      <c r="N400" s="190"/>
      <c r="O400" s="191"/>
      <c r="P400" s="191"/>
      <c r="Q400" s="189"/>
      <c r="R400" s="185"/>
      <c r="S400" s="184"/>
      <c r="T400" s="185"/>
      <c r="U400" s="189"/>
      <c r="V400" s="74"/>
      <c r="W400" s="74"/>
      <c r="X400" s="74"/>
      <c r="Y400" s="74"/>
      <c r="Z400" s="74"/>
      <c r="AA400" s="74"/>
      <c r="AB400" s="74"/>
      <c r="AC400" s="74"/>
      <c r="AD400" s="74"/>
      <c r="AE400" s="74"/>
      <c r="AF400" s="74"/>
      <c r="AN400" s="192">
        <v>2</v>
      </c>
    </row>
    <row r="401" spans="1:40" s="192" customFormat="1" ht="24.75" customHeight="1" x14ac:dyDescent="0.2">
      <c r="A401" s="228" t="s">
        <v>162</v>
      </c>
      <c r="B401" s="213" t="s">
        <v>428</v>
      </c>
      <c r="C401" s="153" t="s">
        <v>422</v>
      </c>
      <c r="D401" s="154" t="s">
        <v>423</v>
      </c>
      <c r="E401" s="160">
        <v>1</v>
      </c>
      <c r="F401" s="155"/>
      <c r="G401" s="155"/>
      <c r="H401" s="156"/>
      <c r="I401" s="157"/>
      <c r="J401" s="179" t="s">
        <v>414</v>
      </c>
      <c r="K401" s="187"/>
      <c r="L401" s="188"/>
      <c r="M401" s="189"/>
      <c r="N401" s="190"/>
      <c r="O401" s="191"/>
      <c r="P401" s="191"/>
      <c r="Q401" s="189"/>
      <c r="R401" s="185"/>
      <c r="S401" s="184"/>
      <c r="T401" s="185"/>
      <c r="U401" s="189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N401" s="192">
        <v>2</v>
      </c>
    </row>
    <row r="402" spans="1:40" s="192" customFormat="1" ht="24.75" customHeight="1" x14ac:dyDescent="0.2">
      <c r="A402" s="228" t="s">
        <v>162</v>
      </c>
      <c r="B402" s="213" t="s">
        <v>429</v>
      </c>
      <c r="C402" s="153" t="s">
        <v>424</v>
      </c>
      <c r="D402" s="154" t="s">
        <v>425</v>
      </c>
      <c r="E402" s="160">
        <v>1</v>
      </c>
      <c r="F402" s="155"/>
      <c r="G402" s="155"/>
      <c r="H402" s="156"/>
      <c r="I402" s="157"/>
      <c r="J402" s="179" t="s">
        <v>414</v>
      </c>
      <c r="K402" s="187"/>
      <c r="L402" s="188"/>
      <c r="M402" s="189"/>
      <c r="N402" s="190"/>
      <c r="O402" s="191"/>
      <c r="P402" s="191"/>
      <c r="Q402" s="189"/>
      <c r="R402" s="185"/>
      <c r="S402" s="184"/>
      <c r="T402" s="185"/>
      <c r="U402" s="189"/>
      <c r="V402" s="74"/>
      <c r="W402" s="74"/>
      <c r="X402" s="74"/>
      <c r="Y402" s="74"/>
      <c r="Z402" s="74"/>
      <c r="AA402" s="74"/>
      <c r="AB402" s="74"/>
      <c r="AC402" s="74"/>
      <c r="AD402" s="74"/>
      <c r="AE402" s="74"/>
      <c r="AF402" s="74"/>
      <c r="AN402" s="192">
        <v>2</v>
      </c>
    </row>
    <row r="403" spans="1:40" x14ac:dyDescent="0.2">
      <c r="A403" s="228" t="s">
        <v>162</v>
      </c>
      <c r="B403" s="213" t="s">
        <v>889</v>
      </c>
      <c r="C403" s="159"/>
      <c r="D403" s="160" t="s">
        <v>890</v>
      </c>
      <c r="E403" s="160">
        <v>20</v>
      </c>
      <c r="F403" s="161"/>
      <c r="G403" s="161"/>
      <c r="H403" s="162"/>
      <c r="I403" s="214"/>
      <c r="J403" s="158" t="s">
        <v>417</v>
      </c>
      <c r="K403" s="60"/>
      <c r="L403" s="24"/>
      <c r="M403" s="25"/>
      <c r="N403" s="132"/>
      <c r="O403" s="26"/>
      <c r="P403" s="45"/>
      <c r="Q403" s="34"/>
      <c r="R403" s="30"/>
      <c r="S403" s="36"/>
      <c r="T403" s="31"/>
      <c r="U403" s="23"/>
      <c r="V403" s="133"/>
      <c r="W403" s="133"/>
      <c r="X403" s="133"/>
      <c r="Y403" s="133"/>
      <c r="Z403" s="133"/>
      <c r="AA403" s="133"/>
      <c r="AB403" s="133"/>
      <c r="AC403" s="133"/>
      <c r="AD403" s="133"/>
      <c r="AE403" s="133"/>
      <c r="AF403" s="133"/>
      <c r="AG403" s="151"/>
      <c r="AH403" s="151"/>
      <c r="AI403" s="151"/>
      <c r="AJ403" s="151"/>
      <c r="AK403" s="151"/>
      <c r="AL403" s="151"/>
      <c r="AM403" s="152"/>
      <c r="AN403" s="1">
        <v>2</v>
      </c>
    </row>
    <row r="404" spans="1:40" ht="15.6" customHeight="1" x14ac:dyDescent="0.2">
      <c r="A404" s="228" t="s">
        <v>162</v>
      </c>
      <c r="B404" s="213" t="s">
        <v>975</v>
      </c>
      <c r="C404" s="159">
        <v>44506</v>
      </c>
      <c r="D404" s="160" t="s">
        <v>974</v>
      </c>
      <c r="E404" s="160">
        <v>1</v>
      </c>
      <c r="F404" s="161"/>
      <c r="G404" s="161"/>
      <c r="H404" s="162"/>
      <c r="I404" s="171"/>
      <c r="J404" s="163" t="s">
        <v>273</v>
      </c>
      <c r="K404" s="60"/>
      <c r="L404" s="24"/>
      <c r="M404" s="25"/>
      <c r="N404" s="132"/>
      <c r="O404" s="26"/>
      <c r="P404" s="45"/>
      <c r="Q404" s="34"/>
      <c r="R404" s="30"/>
      <c r="S404" s="36"/>
      <c r="T404" s="31"/>
      <c r="U404" s="23"/>
      <c r="V404" s="133"/>
      <c r="W404" s="133"/>
      <c r="X404" s="133"/>
      <c r="Y404" s="133"/>
      <c r="Z404" s="133"/>
      <c r="AA404" s="133"/>
      <c r="AB404" s="133"/>
      <c r="AC404" s="133"/>
      <c r="AD404" s="133"/>
      <c r="AE404" s="133"/>
      <c r="AF404" s="133"/>
      <c r="AG404" s="151"/>
      <c r="AH404" s="151"/>
      <c r="AI404" s="151"/>
      <c r="AJ404" s="151"/>
      <c r="AK404" s="151"/>
      <c r="AL404" s="151"/>
      <c r="AM404" s="152"/>
      <c r="AN404" s="1">
        <v>2</v>
      </c>
    </row>
    <row r="405" spans="1:40" x14ac:dyDescent="0.2">
      <c r="A405" s="228" t="s">
        <v>162</v>
      </c>
      <c r="B405" s="213" t="s">
        <v>979</v>
      </c>
      <c r="C405" s="159" t="s">
        <v>981</v>
      </c>
      <c r="D405" s="160" t="s">
        <v>977</v>
      </c>
      <c r="E405" s="160">
        <v>10</v>
      </c>
      <c r="F405" s="161"/>
      <c r="G405" s="161"/>
      <c r="H405" s="162"/>
      <c r="I405" s="214" t="s">
        <v>980</v>
      </c>
      <c r="J405" s="163" t="s">
        <v>978</v>
      </c>
      <c r="K405" s="60"/>
      <c r="L405" s="24"/>
      <c r="M405" s="25"/>
      <c r="N405" s="132"/>
      <c r="O405" s="26"/>
      <c r="P405" s="45"/>
      <c r="Q405" s="34"/>
      <c r="R405" s="30"/>
      <c r="S405" s="36"/>
      <c r="T405" s="31"/>
      <c r="U405" s="23"/>
      <c r="V405" s="133"/>
      <c r="W405" s="133"/>
      <c r="X405" s="133"/>
      <c r="Y405" s="133"/>
      <c r="Z405" s="133"/>
      <c r="AA405" s="133"/>
      <c r="AB405" s="133"/>
      <c r="AC405" s="133"/>
      <c r="AD405" s="133"/>
      <c r="AE405" s="133"/>
      <c r="AF405" s="133"/>
      <c r="AG405" s="151"/>
      <c r="AH405" s="151"/>
      <c r="AI405" s="151"/>
      <c r="AJ405" s="151"/>
      <c r="AK405" s="151"/>
      <c r="AL405" s="151"/>
      <c r="AM405" s="152"/>
      <c r="AN405" s="1">
        <v>2</v>
      </c>
    </row>
    <row r="406" spans="1:40" s="131" customFormat="1" ht="25.5" customHeight="1" outlineLevel="1" x14ac:dyDescent="0.2">
      <c r="A406" s="228" t="s">
        <v>162</v>
      </c>
      <c r="B406" s="213" t="s">
        <v>984</v>
      </c>
      <c r="C406" s="240" t="s">
        <v>982</v>
      </c>
      <c r="D406" s="160" t="s">
        <v>983</v>
      </c>
      <c r="E406" s="160">
        <v>6</v>
      </c>
      <c r="F406" s="161"/>
      <c r="G406" s="161"/>
      <c r="H406" s="162"/>
      <c r="I406" s="194"/>
      <c r="J406" s="179" t="s">
        <v>968</v>
      </c>
      <c r="AN406" s="63">
        <v>2</v>
      </c>
    </row>
    <row r="407" spans="1:40" ht="13.5" thickBot="1" x14ac:dyDescent="0.25">
      <c r="A407" s="129"/>
      <c r="B407" s="128"/>
      <c r="C407" s="79"/>
      <c r="D407" s="79"/>
      <c r="E407" s="80"/>
      <c r="F407" s="125"/>
      <c r="G407" s="125"/>
      <c r="H407" s="81"/>
      <c r="I407" s="82"/>
      <c r="J407" s="127"/>
      <c r="K407" s="126"/>
      <c r="L407" s="38"/>
      <c r="M407" s="37"/>
      <c r="N407" s="166"/>
      <c r="O407" s="46"/>
      <c r="P407" s="145">
        <f>O407*E407</f>
        <v>0</v>
      </c>
      <c r="Q407" s="13"/>
      <c r="R407" s="32"/>
      <c r="S407" s="97" t="str">
        <f>IF(P407=R407,"NIE","TAK")</f>
        <v>NIE</v>
      </c>
      <c r="T407" s="33">
        <f>P407-R407</f>
        <v>0</v>
      </c>
      <c r="U407" s="37"/>
      <c r="V407" s="116"/>
      <c r="W407" s="116"/>
      <c r="X407" s="116"/>
      <c r="Y407" s="116"/>
      <c r="Z407" s="116"/>
      <c r="AA407" s="116"/>
      <c r="AB407" s="116"/>
      <c r="AC407" s="116"/>
      <c r="AD407" s="116"/>
      <c r="AE407" s="116"/>
      <c r="AF407" s="116"/>
      <c r="AG407" s="116"/>
      <c r="AH407" s="116"/>
      <c r="AI407" s="116"/>
      <c r="AJ407" s="116"/>
      <c r="AK407" s="116"/>
      <c r="AL407" s="116"/>
      <c r="AM407" s="117"/>
    </row>
    <row r="408" spans="1:40" ht="13.5" thickBot="1" x14ac:dyDescent="0.25">
      <c r="A408" s="134"/>
      <c r="B408" s="134"/>
      <c r="C408" s="4"/>
      <c r="D408" s="4"/>
      <c r="E408" s="135"/>
      <c r="F408" s="136"/>
      <c r="G408" s="136"/>
      <c r="H408" s="137"/>
      <c r="I408" s="4"/>
      <c r="J408" s="4"/>
      <c r="L408" s="138"/>
      <c r="N408" s="167"/>
      <c r="O408" s="139"/>
      <c r="P408" s="149"/>
      <c r="Q408" s="146"/>
      <c r="R408" s="150"/>
      <c r="S408" s="147"/>
      <c r="T408" s="148"/>
      <c r="V408" s="140"/>
      <c r="W408" s="140"/>
      <c r="X408" s="140"/>
      <c r="Y408" s="140"/>
      <c r="Z408" s="140"/>
      <c r="AA408" s="140"/>
      <c r="AB408" s="140"/>
      <c r="AC408" s="140"/>
      <c r="AD408" s="140"/>
      <c r="AE408" s="140"/>
      <c r="AF408" s="140"/>
      <c r="AG408" s="140"/>
      <c r="AH408" s="140"/>
      <c r="AI408" s="140"/>
      <c r="AJ408" s="140"/>
      <c r="AK408" s="140"/>
      <c r="AL408" s="140"/>
      <c r="AM408" s="140"/>
    </row>
    <row r="409" spans="1:40" s="2" customFormat="1" ht="15.75" thickBot="1" x14ac:dyDescent="0.25">
      <c r="A409" s="77"/>
      <c r="B409" s="77"/>
      <c r="C409" s="49"/>
      <c r="D409" s="4"/>
      <c r="E409" s="3"/>
      <c r="F409" s="47" t="s">
        <v>30</v>
      </c>
      <c r="G409" s="123">
        <f>SUM(G7:G407)</f>
        <v>178.44028175000022</v>
      </c>
      <c r="H409" s="6"/>
      <c r="I409" s="7"/>
      <c r="K409" s="7"/>
      <c r="L409" s="7"/>
      <c r="M409" s="7"/>
      <c r="N409" s="63"/>
      <c r="O409" s="71" t="s">
        <v>12</v>
      </c>
      <c r="P409" s="27">
        <f>SUM(P407:P407)</f>
        <v>0</v>
      </c>
      <c r="Q409" s="28" t="s">
        <v>20</v>
      </c>
      <c r="R409" s="35">
        <f>SUM(R407:R407)</f>
        <v>0</v>
      </c>
      <c r="S409" s="72" t="s">
        <v>19</v>
      </c>
      <c r="T409" s="96">
        <f>SUM(T407:T407)</f>
        <v>0</v>
      </c>
      <c r="U409" s="7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</row>
    <row r="410" spans="1:40" s="2" customFormat="1" ht="13.5" thickBot="1" x14ac:dyDescent="0.25">
      <c r="A410" s="77"/>
      <c r="B410" s="77"/>
      <c r="C410" s="49"/>
      <c r="D410" s="4"/>
      <c r="E410" s="3"/>
      <c r="G410" s="122"/>
      <c r="H410" s="6"/>
      <c r="I410" s="7"/>
      <c r="K410" s="7"/>
      <c r="L410" s="7"/>
      <c r="M410" s="7"/>
      <c r="N410" s="63"/>
      <c r="O410" s="71"/>
      <c r="P410" s="50"/>
      <c r="Q410" s="28"/>
      <c r="R410" s="51"/>
      <c r="S410" s="72"/>
      <c r="T410" s="51"/>
      <c r="U410" s="7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</row>
    <row r="411" spans="1:40" s="2" customFormat="1" ht="13.5" thickBot="1" x14ac:dyDescent="0.25">
      <c r="A411" s="77"/>
      <c r="B411" s="77"/>
      <c r="C411" s="95" t="s">
        <v>64</v>
      </c>
      <c r="D411" s="22" t="s">
        <v>85</v>
      </c>
      <c r="E411" s="3"/>
      <c r="F411" s="47" t="s">
        <v>30</v>
      </c>
      <c r="G411" s="124">
        <f>SUBTOTAL(9,G8:G407)</f>
        <v>178.44028175000022</v>
      </c>
      <c r="H411" s="6"/>
      <c r="I411" s="7"/>
      <c r="J411" s="7"/>
      <c r="K411" s="7"/>
      <c r="L411" s="7"/>
      <c r="M411" s="7"/>
      <c r="N411" s="63"/>
      <c r="O411" s="18"/>
      <c r="P411" s="130">
        <f>SUBTOTAL(9,P407:P407)</f>
        <v>0</v>
      </c>
      <c r="Q411" s="7"/>
      <c r="R411" s="9"/>
      <c r="S411" s="9"/>
      <c r="T411" s="9"/>
      <c r="U411" s="7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</row>
    <row r="412" spans="1:40" s="2" customFormat="1" ht="13.5" thickBot="1" x14ac:dyDescent="0.25">
      <c r="A412" s="77"/>
      <c r="B412" s="77"/>
      <c r="C412" s="95" t="s">
        <v>63</v>
      </c>
      <c r="D412" s="22" t="s">
        <v>379</v>
      </c>
      <c r="E412" s="3"/>
      <c r="F412" s="86"/>
      <c r="G412" s="86"/>
      <c r="H412" s="6"/>
      <c r="I412" s="7"/>
      <c r="J412" s="7"/>
      <c r="K412" s="7"/>
      <c r="L412" s="7"/>
      <c r="M412" s="7"/>
      <c r="N412" s="63"/>
      <c r="O412" s="18"/>
      <c r="P412" s="21"/>
      <c r="Q412" s="7"/>
      <c r="R412" s="9"/>
      <c r="S412" s="9"/>
      <c r="T412" s="9"/>
      <c r="U412" s="7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</row>
    <row r="413" spans="1:40" s="2" customFormat="1" ht="39" thickBot="1" x14ac:dyDescent="0.25">
      <c r="A413" s="77"/>
      <c r="B413" s="77"/>
      <c r="C413" s="259" t="s">
        <v>45</v>
      </c>
      <c r="D413" s="259"/>
      <c r="E413" s="3"/>
      <c r="F413" s="87" t="s">
        <v>41</v>
      </c>
      <c r="G413" s="47"/>
      <c r="H413" s="6"/>
      <c r="I413" s="7"/>
      <c r="J413" s="7"/>
      <c r="K413" s="7"/>
      <c r="L413" s="7"/>
      <c r="M413" s="7"/>
      <c r="N413" s="63"/>
      <c r="O413" s="18"/>
      <c r="P413" s="21"/>
      <c r="Q413" s="7"/>
      <c r="R413" s="9"/>
      <c r="S413" s="9"/>
      <c r="T413" s="9"/>
      <c r="U413" s="7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</row>
    <row r="414" spans="1:40" s="2" customFormat="1" x14ac:dyDescent="0.2">
      <c r="A414" s="77"/>
      <c r="B414" s="77"/>
      <c r="C414" s="259"/>
      <c r="D414" s="259"/>
      <c r="E414" s="3"/>
      <c r="F414" s="5"/>
      <c r="G414" s="6"/>
      <c r="H414" s="6"/>
      <c r="I414" s="39" t="s">
        <v>14</v>
      </c>
      <c r="J414" s="7"/>
      <c r="K414" s="7"/>
      <c r="L414" s="7"/>
      <c r="M414" s="7"/>
      <c r="N414" s="63"/>
      <c r="O414" s="18"/>
      <c r="P414" s="21"/>
      <c r="Q414" s="7"/>
      <c r="R414" s="9"/>
      <c r="S414" s="9"/>
      <c r="T414" s="9"/>
      <c r="U414" s="7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</row>
    <row r="415" spans="1:40" s="2" customFormat="1" x14ac:dyDescent="0.2">
      <c r="A415" s="77"/>
      <c r="B415" s="77"/>
      <c r="C415" s="259"/>
      <c r="D415" s="259"/>
      <c r="E415" s="83"/>
      <c r="F415" s="83"/>
      <c r="G415" s="260" t="s">
        <v>370</v>
      </c>
      <c r="H415" s="261"/>
      <c r="I415" s="261"/>
      <c r="J415" s="262"/>
      <c r="K415" s="7"/>
      <c r="L415" s="7"/>
      <c r="N415" s="76"/>
      <c r="O415" s="21"/>
      <c r="P415" s="7"/>
      <c r="Q415" s="7"/>
      <c r="R415" s="1"/>
      <c r="S415" s="1"/>
      <c r="T415" s="1"/>
    </row>
    <row r="416" spans="1:40" x14ac:dyDescent="0.2">
      <c r="B416" s="77"/>
      <c r="C416" s="259"/>
      <c r="D416" s="259"/>
      <c r="E416" s="85"/>
      <c r="F416" s="85"/>
      <c r="G416" s="263"/>
      <c r="H416" s="264"/>
      <c r="I416" s="264"/>
      <c r="J416" s="265"/>
      <c r="K416" s="10"/>
      <c r="L416" s="10"/>
      <c r="M416" s="2"/>
      <c r="N416" s="73"/>
      <c r="O416" s="168"/>
      <c r="P416" s="2"/>
      <c r="Q416" s="2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</row>
    <row r="417" spans="1:31" x14ac:dyDescent="0.2">
      <c r="B417" s="77"/>
      <c r="C417" s="259"/>
      <c r="D417" s="259"/>
      <c r="E417" s="89"/>
      <c r="F417" s="85"/>
      <c r="G417" s="263"/>
      <c r="H417" s="264"/>
      <c r="I417" s="264"/>
      <c r="J417" s="265"/>
      <c r="K417" s="10"/>
      <c r="L417" s="10"/>
      <c r="M417" s="2"/>
      <c r="N417" s="73"/>
      <c r="O417" s="168"/>
      <c r="P417" s="2"/>
      <c r="Q417" s="2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</row>
    <row r="418" spans="1:31" ht="15" x14ac:dyDescent="0.2">
      <c r="B418" s="77"/>
      <c r="D418" s="84"/>
      <c r="E418" s="85"/>
      <c r="F418" s="85"/>
      <c r="G418" s="263"/>
      <c r="H418" s="264"/>
      <c r="I418" s="264"/>
      <c r="J418" s="265"/>
      <c r="K418" s="10"/>
      <c r="L418" s="10"/>
      <c r="M418" s="2"/>
      <c r="N418" s="12"/>
      <c r="O418" s="169"/>
      <c r="P418" s="2"/>
      <c r="Q418" s="2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</row>
    <row r="419" spans="1:31" ht="15" x14ac:dyDescent="0.2">
      <c r="B419" s="77"/>
      <c r="D419" s="84"/>
      <c r="E419" s="85"/>
      <c r="F419" s="85"/>
      <c r="G419" s="263"/>
      <c r="H419" s="264"/>
      <c r="I419" s="264"/>
      <c r="J419" s="265"/>
      <c r="K419" s="10"/>
      <c r="L419" s="10"/>
      <c r="M419" s="2"/>
      <c r="N419" s="12"/>
      <c r="O419" s="169"/>
      <c r="P419" s="2"/>
      <c r="Q419" s="2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</row>
    <row r="420" spans="1:31" ht="13.5" thickBot="1" x14ac:dyDescent="0.25">
      <c r="A420" s="175"/>
      <c r="B420" s="98"/>
      <c r="C420" s="98"/>
      <c r="D420" s="98"/>
      <c r="E420" s="99"/>
      <c r="F420" s="99"/>
      <c r="G420" s="263"/>
      <c r="H420" s="264"/>
      <c r="I420" s="264"/>
      <c r="J420" s="265"/>
      <c r="K420" s="10"/>
      <c r="L420" s="10"/>
      <c r="M420" s="2"/>
      <c r="N420" s="12"/>
      <c r="O420" s="169"/>
      <c r="P420" s="2"/>
      <c r="Q420" s="2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</row>
    <row r="421" spans="1:31" ht="21.75" x14ac:dyDescent="0.2">
      <c r="A421" s="176" t="s">
        <v>46</v>
      </c>
      <c r="B421" s="101" t="s">
        <v>47</v>
      </c>
      <c r="C421" s="101" t="s">
        <v>48</v>
      </c>
      <c r="D421" s="101" t="s">
        <v>49</v>
      </c>
      <c r="E421" s="113" t="s">
        <v>50</v>
      </c>
      <c r="F421" s="99"/>
      <c r="G421" s="263"/>
      <c r="H421" s="264"/>
      <c r="I421" s="264"/>
      <c r="J421" s="265"/>
    </row>
    <row r="422" spans="1:31" x14ac:dyDescent="0.2">
      <c r="A422" s="102">
        <v>1</v>
      </c>
      <c r="B422" s="90" t="s">
        <v>51</v>
      </c>
      <c r="C422" s="91" t="s">
        <v>60</v>
      </c>
      <c r="D422" s="90"/>
      <c r="E422" s="103"/>
      <c r="F422" s="100"/>
      <c r="G422" s="263"/>
      <c r="H422" s="264"/>
      <c r="I422" s="264"/>
      <c r="J422" s="265"/>
    </row>
    <row r="423" spans="1:31" x14ac:dyDescent="0.2">
      <c r="A423" s="102">
        <v>2</v>
      </c>
      <c r="B423" s="90" t="s">
        <v>51</v>
      </c>
      <c r="C423" s="91" t="s">
        <v>52</v>
      </c>
      <c r="D423" s="90"/>
      <c r="E423" s="103"/>
      <c r="F423" s="100"/>
      <c r="G423" s="263"/>
      <c r="H423" s="264"/>
      <c r="I423" s="264"/>
      <c r="J423" s="265"/>
    </row>
    <row r="424" spans="1:31" x14ac:dyDescent="0.2">
      <c r="A424" s="102">
        <v>3</v>
      </c>
      <c r="B424" s="90"/>
      <c r="C424" s="91" t="s">
        <v>53</v>
      </c>
      <c r="D424" s="94">
        <f>D425+D426</f>
        <v>0</v>
      </c>
      <c r="E424" s="104">
        <f>E425+E426</f>
        <v>0</v>
      </c>
      <c r="F424" s="100"/>
      <c r="G424" s="263"/>
      <c r="H424" s="264"/>
      <c r="I424" s="264"/>
      <c r="J424" s="265"/>
    </row>
    <row r="425" spans="1:31" x14ac:dyDescent="0.2">
      <c r="A425" s="102">
        <v>4</v>
      </c>
      <c r="B425" s="90" t="s">
        <v>54</v>
      </c>
      <c r="C425" s="91" t="s">
        <v>55</v>
      </c>
      <c r="D425" s="90"/>
      <c r="E425" s="104"/>
      <c r="F425" s="100"/>
      <c r="G425" s="263"/>
      <c r="H425" s="264"/>
      <c r="I425" s="264"/>
      <c r="J425" s="265"/>
    </row>
    <row r="426" spans="1:31" x14ac:dyDescent="0.2">
      <c r="A426" s="102">
        <v>5</v>
      </c>
      <c r="B426" s="90" t="s">
        <v>51</v>
      </c>
      <c r="C426" s="91" t="s">
        <v>56</v>
      </c>
      <c r="D426" s="90"/>
      <c r="E426" s="104"/>
      <c r="F426" s="100"/>
      <c r="G426" s="266"/>
      <c r="H426" s="267"/>
      <c r="I426" s="267"/>
      <c r="J426" s="268"/>
    </row>
    <row r="427" spans="1:31" x14ac:dyDescent="0.2">
      <c r="A427" s="102">
        <v>6</v>
      </c>
      <c r="B427" s="90" t="s">
        <v>54</v>
      </c>
      <c r="C427" s="91" t="s">
        <v>65</v>
      </c>
      <c r="D427" s="90"/>
      <c r="E427" s="104"/>
      <c r="F427" s="100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</row>
    <row r="428" spans="1:31" ht="25.5" x14ac:dyDescent="0.2">
      <c r="A428" s="102">
        <v>7</v>
      </c>
      <c r="B428" s="90" t="s">
        <v>57</v>
      </c>
      <c r="C428" s="92" t="s">
        <v>66</v>
      </c>
      <c r="D428" s="90"/>
      <c r="E428" s="104"/>
      <c r="F428" s="100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</row>
    <row r="429" spans="1:31" ht="25.5" x14ac:dyDescent="0.2">
      <c r="A429" s="102">
        <v>8</v>
      </c>
      <c r="B429" s="90" t="s">
        <v>57</v>
      </c>
      <c r="C429" s="92" t="s">
        <v>67</v>
      </c>
      <c r="D429" s="90"/>
      <c r="E429" s="104"/>
      <c r="F429" s="100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</row>
    <row r="430" spans="1:31" x14ac:dyDescent="0.2">
      <c r="A430" s="102">
        <v>9</v>
      </c>
      <c r="B430" s="90" t="s">
        <v>54</v>
      </c>
      <c r="C430" s="91" t="s">
        <v>62</v>
      </c>
      <c r="D430" s="90"/>
      <c r="E430" s="104"/>
      <c r="F430" s="100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</row>
    <row r="431" spans="1:31" x14ac:dyDescent="0.2">
      <c r="A431" s="102">
        <v>10</v>
      </c>
      <c r="B431" s="90" t="s">
        <v>51</v>
      </c>
      <c r="C431" s="91" t="s">
        <v>58</v>
      </c>
      <c r="D431" s="90"/>
      <c r="E431" s="104"/>
      <c r="F431" s="100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</row>
    <row r="432" spans="1:31" ht="13.5" thickBot="1" x14ac:dyDescent="0.25">
      <c r="A432" s="105">
        <v>11</v>
      </c>
      <c r="B432" s="106" t="s">
        <v>51</v>
      </c>
      <c r="C432" s="107" t="s">
        <v>61</v>
      </c>
      <c r="D432" s="108"/>
      <c r="E432" s="109"/>
      <c r="F432" s="100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</row>
    <row r="433" spans="1:31" ht="13.5" thickBot="1" x14ac:dyDescent="0.25">
      <c r="A433" s="177"/>
      <c r="B433" s="131"/>
      <c r="C433" s="93" t="s">
        <v>59</v>
      </c>
      <c r="D433" s="110">
        <f>D422+D423+D432+(D430*D427)+(D430*D428)+(D430*D429)</f>
        <v>0</v>
      </c>
      <c r="E433" s="110">
        <f>E422+E423+E432+(E430*E427)+(E430*E428)+(E430*E429)</f>
        <v>0</v>
      </c>
      <c r="F433" s="100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</row>
    <row r="434" spans="1:31" x14ac:dyDescent="0.2">
      <c r="B434" s="77"/>
      <c r="C434" s="111" t="s">
        <v>68</v>
      </c>
      <c r="E434" s="112" t="e">
        <f>E432/E425</f>
        <v>#DIV/0!</v>
      </c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1:31" x14ac:dyDescent="0.2">
      <c r="B435" s="77"/>
      <c r="C435" s="111" t="s">
        <v>69</v>
      </c>
      <c r="E435" s="170" t="e">
        <f>1-E425/E431</f>
        <v>#DIV/0!</v>
      </c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1:31" x14ac:dyDescent="0.2">
      <c r="B436" s="77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1:31" x14ac:dyDescent="0.2">
      <c r="B437" s="77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1:31" x14ac:dyDescent="0.2">
      <c r="B438" s="77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1:31" x14ac:dyDescent="0.2">
      <c r="B439" s="77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1:31" x14ac:dyDescent="0.2">
      <c r="B440" s="77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</row>
    <row r="441" spans="1:31" x14ac:dyDescent="0.2">
      <c r="B441" s="77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1:31" x14ac:dyDescent="0.2">
      <c r="B442" s="77"/>
      <c r="R442" s="74"/>
      <c r="S442" s="74"/>
      <c r="T442" s="74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1:31" x14ac:dyDescent="0.2">
      <c r="B443" s="77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1:31" x14ac:dyDescent="0.2">
      <c r="B444" s="77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1:31" x14ac:dyDescent="0.2">
      <c r="B445" s="77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1:31" x14ac:dyDescent="0.2">
      <c r="B446" s="77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1:31" x14ac:dyDescent="0.2">
      <c r="B447" s="77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1:31" x14ac:dyDescent="0.2">
      <c r="B448" s="77"/>
      <c r="R448" s="74"/>
      <c r="S448" s="74"/>
      <c r="T448" s="74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2:31" x14ac:dyDescent="0.2">
      <c r="B449" s="77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2:31" x14ac:dyDescent="0.2">
      <c r="B450" s="77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2:31" x14ac:dyDescent="0.2">
      <c r="B451" s="77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2:31" x14ac:dyDescent="0.2">
      <c r="B452" s="77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2:31" x14ac:dyDescent="0.2">
      <c r="B453" s="77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2:31" x14ac:dyDescent="0.2">
      <c r="B454" s="77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2:31" x14ac:dyDescent="0.2">
      <c r="B455" s="77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2:31" x14ac:dyDescent="0.2">
      <c r="B456" s="77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2:31" x14ac:dyDescent="0.2">
      <c r="B457" s="77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2:31" x14ac:dyDescent="0.2">
      <c r="B458" s="77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2:31" x14ac:dyDescent="0.2">
      <c r="B459" s="7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2:31" x14ac:dyDescent="0.2">
      <c r="B460" s="7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2:31" x14ac:dyDescent="0.2">
      <c r="B461" s="7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2:31" x14ac:dyDescent="0.2">
      <c r="B462" s="7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2:31" x14ac:dyDescent="0.2">
      <c r="B463" s="7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2:31" x14ac:dyDescent="0.2">
      <c r="B464" s="7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2:31" x14ac:dyDescent="0.2">
      <c r="B465" s="7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2:31" x14ac:dyDescent="0.2">
      <c r="B466" s="7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2:31" x14ac:dyDescent="0.2">
      <c r="B467" s="7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2:31" x14ac:dyDescent="0.2">
      <c r="B468" s="7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2:31" x14ac:dyDescent="0.2">
      <c r="B469" s="7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2:31" x14ac:dyDescent="0.2">
      <c r="B470" s="7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2:31" x14ac:dyDescent="0.2">
      <c r="B471" s="7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2:31" x14ac:dyDescent="0.2">
      <c r="B472" s="7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2:31" x14ac:dyDescent="0.2">
      <c r="B473" s="7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2:31" x14ac:dyDescent="0.2">
      <c r="B474" s="7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2:31" x14ac:dyDescent="0.2">
      <c r="B475" s="77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2:31" x14ac:dyDescent="0.2">
      <c r="B476" s="77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2:31" x14ac:dyDescent="0.2">
      <c r="B477" s="77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2:31" x14ac:dyDescent="0.2">
      <c r="B478" s="77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2:31" x14ac:dyDescent="0.2">
      <c r="B479" s="77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2:31" x14ac:dyDescent="0.2">
      <c r="B480" s="77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2:31" x14ac:dyDescent="0.2">
      <c r="B481" s="77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2:31" x14ac:dyDescent="0.2">
      <c r="B482" s="77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2:31" x14ac:dyDescent="0.2">
      <c r="B483" s="77"/>
      <c r="S483" s="75" t="e">
        <f>#REF!-R483</f>
        <v>#REF!</v>
      </c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2:31" x14ac:dyDescent="0.2">
      <c r="B484" s="77"/>
      <c r="S484" s="75" t="e">
        <f>#REF!-R484</f>
        <v>#REF!</v>
      </c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2:31" x14ac:dyDescent="0.2">
      <c r="B485" s="77"/>
      <c r="S485" s="75" t="e">
        <f>#REF!-R485</f>
        <v>#REF!</v>
      </c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2:31" x14ac:dyDescent="0.2">
      <c r="B486" s="77"/>
      <c r="S486" s="75" t="e">
        <f>#REF!-R486</f>
        <v>#REF!</v>
      </c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2:31" x14ac:dyDescent="0.2">
      <c r="B487" s="77"/>
      <c r="S487" s="75" t="e">
        <f>#REF!-R487</f>
        <v>#REF!</v>
      </c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2:31" x14ac:dyDescent="0.2">
      <c r="B488" s="77"/>
      <c r="S488" s="75" t="e">
        <f>#REF!-R488</f>
        <v>#REF!</v>
      </c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2:31" x14ac:dyDescent="0.2">
      <c r="B489" s="77"/>
      <c r="S489" s="75" t="e">
        <f>#REF!-R489</f>
        <v>#REF!</v>
      </c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2:31" x14ac:dyDescent="0.2">
      <c r="B490" s="77"/>
      <c r="S490" s="75" t="e">
        <f>#REF!-R490</f>
        <v>#REF!</v>
      </c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2:31" x14ac:dyDescent="0.2">
      <c r="B491" s="77"/>
      <c r="S491" s="75" t="e">
        <f>#REF!-R491</f>
        <v>#REF!</v>
      </c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2:31" x14ac:dyDescent="0.2">
      <c r="B492" s="77"/>
      <c r="S492" s="75" t="e">
        <f>#REF!-R492</f>
        <v>#REF!</v>
      </c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2:31" x14ac:dyDescent="0.2">
      <c r="B493" s="77"/>
      <c r="S493" s="75" t="e">
        <f>#REF!-R493</f>
        <v>#REF!</v>
      </c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2:31" x14ac:dyDescent="0.2">
      <c r="B494" s="77"/>
      <c r="S494" s="75" t="e">
        <f>#REF!-R494</f>
        <v>#REF!</v>
      </c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2:31" x14ac:dyDescent="0.2">
      <c r="B495" s="77"/>
      <c r="S495" s="75" t="e">
        <f>#REF!-R495</f>
        <v>#REF!</v>
      </c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2:31" x14ac:dyDescent="0.2">
      <c r="B496" s="77"/>
      <c r="S496" s="75" t="e">
        <f>#REF!-R496</f>
        <v>#REF!</v>
      </c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2:31" x14ac:dyDescent="0.2">
      <c r="B497" s="77"/>
      <c r="S497" s="75" t="e">
        <f>#REF!-R497</f>
        <v>#REF!</v>
      </c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</row>
    <row r="498" spans="2:31" x14ac:dyDescent="0.2">
      <c r="B498" s="77"/>
      <c r="S498" s="75" t="e">
        <f>#REF!-R498</f>
        <v>#REF!</v>
      </c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2:31" x14ac:dyDescent="0.2">
      <c r="B499" s="77"/>
      <c r="S499" s="75" t="e">
        <f>#REF!-R499</f>
        <v>#REF!</v>
      </c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2:31" x14ac:dyDescent="0.2">
      <c r="B500" s="77"/>
      <c r="S500" s="75" t="e">
        <f>#REF!-R500</f>
        <v>#REF!</v>
      </c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2:31" x14ac:dyDescent="0.2">
      <c r="B501" s="77"/>
      <c r="S501" s="75" t="e">
        <f>#REF!-R501</f>
        <v>#REF!</v>
      </c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</row>
    <row r="502" spans="2:31" x14ac:dyDescent="0.2">
      <c r="B502" s="77"/>
      <c r="S502" s="75" t="e">
        <f>#REF!-R502</f>
        <v>#REF!</v>
      </c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</row>
    <row r="503" spans="2:31" x14ac:dyDescent="0.2">
      <c r="B503" s="77"/>
      <c r="S503" s="75" t="e">
        <f>#REF!-R503</f>
        <v>#REF!</v>
      </c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</row>
    <row r="504" spans="2:31" x14ac:dyDescent="0.2">
      <c r="B504" s="77"/>
      <c r="S504" s="75" t="e">
        <f>#REF!-R504</f>
        <v>#REF!</v>
      </c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</row>
    <row r="505" spans="2:31" x14ac:dyDescent="0.2">
      <c r="S505" s="75" t="e">
        <f>#REF!-R505</f>
        <v>#REF!</v>
      </c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</row>
    <row r="506" spans="2:31" x14ac:dyDescent="0.2">
      <c r="S506" s="75" t="e">
        <f>#REF!-R506</f>
        <v>#REF!</v>
      </c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</row>
    <row r="507" spans="2:31" x14ac:dyDescent="0.2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S507" s="75" t="e">
        <f>#REF!-R507</f>
        <v>#REF!</v>
      </c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</row>
    <row r="508" spans="2:31" x14ac:dyDescent="0.2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S508" s="75" t="e">
        <f>#REF!-R508</f>
        <v>#REF!</v>
      </c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</row>
    <row r="509" spans="2:31" x14ac:dyDescent="0.2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63"/>
      <c r="S509" s="63"/>
      <c r="T509" s="63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</row>
    <row r="510" spans="2:31" x14ac:dyDescent="0.2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63"/>
      <c r="S510" s="63"/>
      <c r="T510" s="63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</row>
    <row r="511" spans="2:31" x14ac:dyDescent="0.2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63"/>
      <c r="S511" s="63"/>
      <c r="T511" s="63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</row>
    <row r="513" spans="2:31" x14ac:dyDescent="0.2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74"/>
      <c r="S513" s="74"/>
      <c r="T513" s="74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</row>
    <row r="514" spans="2:31" x14ac:dyDescent="0.2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74"/>
      <c r="S514" s="74"/>
      <c r="T514" s="74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</row>
    <row r="515" spans="2:31" x14ac:dyDescent="0.2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74"/>
      <c r="S515" s="74"/>
      <c r="T515" s="74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</row>
    <row r="516" spans="2:31" x14ac:dyDescent="0.2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74"/>
      <c r="S516" s="74"/>
      <c r="T516" s="74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</row>
    <row r="517" spans="2:31" x14ac:dyDescent="0.2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74"/>
      <c r="S517" s="74"/>
      <c r="T517" s="74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</row>
    <row r="518" spans="2:31" x14ac:dyDescent="0.2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74"/>
      <c r="S518" s="74"/>
      <c r="T518" s="74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</row>
  </sheetData>
  <sheetProtection formatCells="0" sort="0" autoFilter="0" pivotTables="0"/>
  <autoFilter ref="A6:CO407"/>
  <mergeCells count="10">
    <mergeCell ref="Q4:R4"/>
    <mergeCell ref="C5:D5"/>
    <mergeCell ref="F5:G5"/>
    <mergeCell ref="K5:L5"/>
    <mergeCell ref="O5:P5"/>
    <mergeCell ref="C413:D417"/>
    <mergeCell ref="G415:J426"/>
    <mergeCell ref="G1:H1"/>
    <mergeCell ref="G2:I2"/>
    <mergeCell ref="D4:F4"/>
  </mergeCells>
  <conditionalFormatting sqref="N403:N408">
    <cfRule type="expression" dxfId="182" priority="458" stopIfTrue="1">
      <formula>IF(AND(ISBLANK(N403),IF(L403&lt;TODAY(),TRUE,FALSE))=FALSE,FALSE,TRUE)</formula>
    </cfRule>
    <cfRule type="expression" dxfId="181" priority="459" stopIfTrue="1">
      <formula>IF(AND(IF(M403="",FALSE,TRUE),IF(N403="",FALSE,TRUE))=TRUE,TRUE,FALSE)</formula>
    </cfRule>
  </conditionalFormatting>
  <conditionalFormatting sqref="O403:O408">
    <cfRule type="expression" dxfId="180" priority="457" stopIfTrue="1">
      <formula>IF(OR(ISNUMBER(O403),ISBLANK(F403)),FALSE,TRUE)</formula>
    </cfRule>
  </conditionalFormatting>
  <conditionalFormatting sqref="L403:L408">
    <cfRule type="expression" dxfId="179" priority="454" stopIfTrue="1">
      <formula>IF(AND(IF(L403&lt;TODAY(),TRUE,FALSE),ISBLANK(N403)),TRUE,FALSE)</formula>
    </cfRule>
    <cfRule type="expression" dxfId="178" priority="455" stopIfTrue="1">
      <formula>IF(AND(IF(M403="",FALSE,TRUE),IF(N403="",FALSE,TRUE))=TRUE,TRUE,FALSE)</formula>
    </cfRule>
    <cfRule type="expression" dxfId="177" priority="456" stopIfTrue="1">
      <formula>IF(AND(IF(L403&lt;TODAY(),TRUE,FALSE),ISBLANK(M403)),TRUE,FALSE)</formula>
    </cfRule>
  </conditionalFormatting>
  <conditionalFormatting sqref="M403:M408">
    <cfRule type="expression" dxfId="176" priority="451" stopIfTrue="1">
      <formula>IF(AND(IF(M403="",FALSE,TRUE),IF(N403="",FALSE,TRUE))=TRUE,TRUE,FALSE)</formula>
    </cfRule>
    <cfRule type="expression" dxfId="175" priority="452" stopIfTrue="1">
      <formula>IF(AND(ISBLANK(M403),IF(L403&lt;TODAY(),TRUE,FALSE))=FALSE,FALSE,TRUE)</formula>
    </cfRule>
    <cfRule type="expression" dxfId="174" priority="453" stopIfTrue="1">
      <formula>IF(AND(IF(L403="",FALSE,TRUE),IF(M403="",FALSE,TRUE))=FALSE,TRUE,FALSE)</formula>
    </cfRule>
  </conditionalFormatting>
  <conditionalFormatting sqref="I407:I408 Q403:Q408">
    <cfRule type="cellIs" dxfId="173" priority="450" stopIfTrue="1" operator="greaterThan">
      <formula>0</formula>
    </cfRule>
  </conditionalFormatting>
  <conditionalFormatting sqref="P409:P410">
    <cfRule type="expression" dxfId="172" priority="449" stopIfTrue="1">
      <formula>IF(P409="",FALSE,TRUE)</formula>
    </cfRule>
  </conditionalFormatting>
  <conditionalFormatting sqref="I314 I376:I379 I387:I389 I381:I385 I333 I337:I353 I335 I357:I359 I309:I310 I403:I406 I8:I304">
    <cfRule type="cellIs" dxfId="171" priority="386" stopIfTrue="1" operator="greaterThan">
      <formula>0</formula>
    </cfRule>
  </conditionalFormatting>
  <conditionalFormatting sqref="I311:I313">
    <cfRule type="cellIs" dxfId="170" priority="384" stopIfTrue="1" operator="greaterThan">
      <formula>0</formula>
    </cfRule>
  </conditionalFormatting>
  <conditionalFormatting sqref="I330 I332 I315:I328">
    <cfRule type="cellIs" dxfId="169" priority="383" stopIfTrue="1" operator="greaterThan">
      <formula>0</formula>
    </cfRule>
  </conditionalFormatting>
  <conditionalFormatting sqref="I360 I369:I375 I363:I367">
    <cfRule type="cellIs" dxfId="168" priority="382" stopIfTrue="1" operator="greaterThan">
      <formula>0</formula>
    </cfRule>
  </conditionalFormatting>
  <conditionalFormatting sqref="I368">
    <cfRule type="cellIs" dxfId="167" priority="377" stopIfTrue="1" operator="greaterThan">
      <formula>0</formula>
    </cfRule>
  </conditionalFormatting>
  <conditionalFormatting sqref="I361">
    <cfRule type="cellIs" dxfId="166" priority="376" stopIfTrue="1" operator="greaterThan">
      <formula>0</formula>
    </cfRule>
  </conditionalFormatting>
  <conditionalFormatting sqref="I362">
    <cfRule type="cellIs" dxfId="165" priority="375" stopIfTrue="1" operator="greaterThan">
      <formula>0</formula>
    </cfRule>
  </conditionalFormatting>
  <conditionalFormatting sqref="I386">
    <cfRule type="cellIs" dxfId="164" priority="373" stopIfTrue="1" operator="greaterThan">
      <formula>0</formula>
    </cfRule>
  </conditionalFormatting>
  <conditionalFormatting sqref="I380">
    <cfRule type="cellIs" dxfId="163" priority="372" stopIfTrue="1" operator="greaterThan">
      <formula>0</formula>
    </cfRule>
  </conditionalFormatting>
  <conditionalFormatting sqref="I329">
    <cfRule type="cellIs" dxfId="162" priority="370" stopIfTrue="1" operator="greaterThan">
      <formula>0</formula>
    </cfRule>
  </conditionalFormatting>
  <conditionalFormatting sqref="I331">
    <cfRule type="cellIs" dxfId="161" priority="368" stopIfTrue="1" operator="greaterThan">
      <formula>0</formula>
    </cfRule>
  </conditionalFormatting>
  <conditionalFormatting sqref="I336">
    <cfRule type="cellIs" dxfId="160" priority="366" stopIfTrue="1" operator="greaterThan">
      <formula>0</formula>
    </cfRule>
  </conditionalFormatting>
  <conditionalFormatting sqref="I334">
    <cfRule type="cellIs" dxfId="159" priority="364" stopIfTrue="1" operator="greaterThan">
      <formula>0</formula>
    </cfRule>
  </conditionalFormatting>
  <conditionalFormatting sqref="I354:I356">
    <cfRule type="cellIs" dxfId="158" priority="357" stopIfTrue="1" operator="greaterThan">
      <formula>0</formula>
    </cfRule>
  </conditionalFormatting>
  <conditionalFormatting sqref="I305:I308">
    <cfRule type="cellIs" dxfId="157" priority="355" stopIfTrue="1" operator="greaterThan">
      <formula>0</formula>
    </cfRule>
  </conditionalFormatting>
  <conditionalFormatting sqref="I396">
    <cfRule type="cellIs" dxfId="156" priority="333" stopIfTrue="1" operator="greaterThan">
      <formula>0</formula>
    </cfRule>
  </conditionalFormatting>
  <conditionalFormatting sqref="I397">
    <cfRule type="cellIs" dxfId="155" priority="322" stopIfTrue="1" operator="greaterThan">
      <formula>0</formula>
    </cfRule>
  </conditionalFormatting>
  <conditionalFormatting sqref="I398">
    <cfRule type="cellIs" dxfId="154" priority="321" stopIfTrue="1" operator="greaterThan">
      <formula>0</formula>
    </cfRule>
  </conditionalFormatting>
  <conditionalFormatting sqref="I399:I402">
    <cfRule type="cellIs" dxfId="153" priority="299" stopIfTrue="1" operator="greaterThan">
      <formula>0</formula>
    </cfRule>
  </conditionalFormatting>
  <conditionalFormatting sqref="N390:N395">
    <cfRule type="expression" dxfId="152" priority="344" stopIfTrue="1">
      <formula>IF(AND(ISBLANK(N390),IF(L390&lt;TODAY(),TRUE,FALSE))=FALSE,FALSE,TRUE)</formula>
    </cfRule>
    <cfRule type="expression" dxfId="151" priority="345" stopIfTrue="1">
      <formula>IF(AND(IF(M390="",FALSE,TRUE),IF(N390="",FALSE,TRUE))=TRUE,TRUE,FALSE)</formula>
    </cfRule>
  </conditionalFormatting>
  <conditionalFormatting sqref="O390:O395">
    <cfRule type="expression" dxfId="150" priority="346" stopIfTrue="1">
      <formula>IF(OR(ISNUMBER(O390),ISBLANK(F390)),FALSE,TRUE)</formula>
    </cfRule>
  </conditionalFormatting>
  <conditionalFormatting sqref="L390:L395">
    <cfRule type="expression" dxfId="149" priority="347" stopIfTrue="1">
      <formula>IF(AND(IF(L390&lt;TODAY(),TRUE,FALSE),ISBLANK(N390)),TRUE,FALSE)</formula>
    </cfRule>
    <cfRule type="expression" dxfId="148" priority="348" stopIfTrue="1">
      <formula>IF(AND(IF(M390="",FALSE,TRUE),IF(N390="",FALSE,TRUE))=TRUE,TRUE,FALSE)</formula>
    </cfRule>
    <cfRule type="expression" dxfId="147" priority="349" stopIfTrue="1">
      <formula>IF(AND(IF(L390&lt;TODAY(),TRUE,FALSE),ISBLANK(M390)),TRUE,FALSE)</formula>
    </cfRule>
  </conditionalFormatting>
  <conditionalFormatting sqref="M390:M395">
    <cfRule type="expression" dxfId="146" priority="350" stopIfTrue="1">
      <formula>IF(AND(IF(M390="",FALSE,TRUE),IF(N390="",FALSE,TRUE))=TRUE,TRUE,FALSE)</formula>
    </cfRule>
    <cfRule type="expression" dxfId="145" priority="351" stopIfTrue="1">
      <formula>IF(AND(ISBLANK(M390),IF(L390&lt;TODAY(),TRUE,FALSE))=FALSE,FALSE,TRUE)</formula>
    </cfRule>
    <cfRule type="expression" dxfId="144" priority="352" stopIfTrue="1">
      <formula>IF(AND(IF(L390="",FALSE,TRUE),IF(M390="",FALSE,TRUE))=FALSE,TRUE,FALSE)</formula>
    </cfRule>
  </conditionalFormatting>
  <conditionalFormatting sqref="Q390:Q395">
    <cfRule type="cellIs" dxfId="143" priority="353" stopIfTrue="1" operator="greaterThan">
      <formula>0</formula>
    </cfRule>
  </conditionalFormatting>
  <conditionalFormatting sqref="N396">
    <cfRule type="expression" dxfId="142" priority="342" stopIfTrue="1">
      <formula>IF(AND(ISBLANK(N396),IF(L396&lt;TODAY(),TRUE,FALSE))=FALSE,FALSE,TRUE)</formula>
    </cfRule>
    <cfRule type="expression" dxfId="141" priority="343" stopIfTrue="1">
      <formula>IF(AND(IF(M396="",FALSE,TRUE),IF(N396="",FALSE,TRUE))=TRUE,TRUE,FALSE)</formula>
    </cfRule>
  </conditionalFormatting>
  <conditionalFormatting sqref="O396">
    <cfRule type="expression" dxfId="140" priority="341" stopIfTrue="1">
      <formula>IF(OR(ISNUMBER(O396),ISBLANK(F396)),FALSE,TRUE)</formula>
    </cfRule>
  </conditionalFormatting>
  <conditionalFormatting sqref="L396">
    <cfRule type="expression" dxfId="139" priority="338" stopIfTrue="1">
      <formula>IF(AND(IF(L396&lt;TODAY(),TRUE,FALSE),ISBLANK(N396)),TRUE,FALSE)</formula>
    </cfRule>
    <cfRule type="expression" dxfId="138" priority="339" stopIfTrue="1">
      <formula>IF(AND(IF(M396="",FALSE,TRUE),IF(N396="",FALSE,TRUE))=TRUE,TRUE,FALSE)</formula>
    </cfRule>
    <cfRule type="expression" dxfId="137" priority="340" stopIfTrue="1">
      <formula>IF(AND(IF(L396&lt;TODAY(),TRUE,FALSE),ISBLANK(M396)),TRUE,FALSE)</formula>
    </cfRule>
  </conditionalFormatting>
  <conditionalFormatting sqref="M396">
    <cfRule type="expression" dxfId="136" priority="335" stopIfTrue="1">
      <formula>IF(AND(IF(M396="",FALSE,TRUE),IF(N396="",FALSE,TRUE))=TRUE,TRUE,FALSE)</formula>
    </cfRule>
    <cfRule type="expression" dxfId="135" priority="336" stopIfTrue="1">
      <formula>IF(AND(ISBLANK(M396),IF(L396&lt;TODAY(),TRUE,FALSE))=FALSE,FALSE,TRUE)</formula>
    </cfRule>
    <cfRule type="expression" dxfId="134" priority="337" stopIfTrue="1">
      <formula>IF(AND(IF(L396="",FALSE,TRUE),IF(M396="",FALSE,TRUE))=FALSE,TRUE,FALSE)</formula>
    </cfRule>
  </conditionalFormatting>
  <conditionalFormatting sqref="Q396">
    <cfRule type="cellIs" dxfId="133" priority="334" stopIfTrue="1" operator="greaterThan">
      <formula>0</formula>
    </cfRule>
  </conditionalFormatting>
  <conditionalFormatting sqref="N397:N398">
    <cfRule type="expression" dxfId="132" priority="331" stopIfTrue="1">
      <formula>IF(AND(ISBLANK(N397),IF(L397&lt;TODAY(),TRUE,FALSE))=FALSE,FALSE,TRUE)</formula>
    </cfRule>
    <cfRule type="expression" dxfId="131" priority="332" stopIfTrue="1">
      <formula>IF(AND(IF(M397="",FALSE,TRUE),IF(N397="",FALSE,TRUE))=TRUE,TRUE,FALSE)</formula>
    </cfRule>
  </conditionalFormatting>
  <conditionalFormatting sqref="O397:O398">
    <cfRule type="expression" dxfId="130" priority="330" stopIfTrue="1">
      <formula>IF(OR(ISNUMBER(O397),ISBLANK(F397)),FALSE,TRUE)</formula>
    </cfRule>
  </conditionalFormatting>
  <conditionalFormatting sqref="L397:L398">
    <cfRule type="expression" dxfId="129" priority="327" stopIfTrue="1">
      <formula>IF(AND(IF(L397&lt;TODAY(),TRUE,FALSE),ISBLANK(N397)),TRUE,FALSE)</formula>
    </cfRule>
    <cfRule type="expression" dxfId="128" priority="328" stopIfTrue="1">
      <formula>IF(AND(IF(M397="",FALSE,TRUE),IF(N397="",FALSE,TRUE))=TRUE,TRUE,FALSE)</formula>
    </cfRule>
    <cfRule type="expression" dxfId="127" priority="329" stopIfTrue="1">
      <formula>IF(AND(IF(L397&lt;TODAY(),TRUE,FALSE),ISBLANK(M397)),TRUE,FALSE)</formula>
    </cfRule>
  </conditionalFormatting>
  <conditionalFormatting sqref="M397:M398">
    <cfRule type="expression" dxfId="126" priority="324" stopIfTrue="1">
      <formula>IF(AND(IF(M397="",FALSE,TRUE),IF(N397="",FALSE,TRUE))=TRUE,TRUE,FALSE)</formula>
    </cfRule>
    <cfRule type="expression" dxfId="125" priority="325" stopIfTrue="1">
      <formula>IF(AND(ISBLANK(M397),IF(L397&lt;TODAY(),TRUE,FALSE))=FALSE,FALSE,TRUE)</formula>
    </cfRule>
    <cfRule type="expression" dxfId="124" priority="326" stopIfTrue="1">
      <formula>IF(AND(IF(L397="",FALSE,TRUE),IF(M397="",FALSE,TRUE))=FALSE,TRUE,FALSE)</formula>
    </cfRule>
  </conditionalFormatting>
  <conditionalFormatting sqref="Q397:Q398">
    <cfRule type="cellIs" dxfId="123" priority="323" stopIfTrue="1" operator="greaterThan">
      <formula>0</formula>
    </cfRule>
  </conditionalFormatting>
  <conditionalFormatting sqref="N399:N402">
    <cfRule type="expression" dxfId="122" priority="319" stopIfTrue="1">
      <formula>IF(AND(ISBLANK(N399),IF(L399&lt;TODAY(),TRUE,FALSE))=FALSE,FALSE,TRUE)</formula>
    </cfRule>
    <cfRule type="expression" dxfId="121" priority="320" stopIfTrue="1">
      <formula>IF(AND(IF(M399="",FALSE,TRUE),IF(N399="",FALSE,TRUE))=TRUE,TRUE,FALSE)</formula>
    </cfRule>
  </conditionalFormatting>
  <conditionalFormatting sqref="O399:O402">
    <cfRule type="expression" dxfId="120" priority="318" stopIfTrue="1">
      <formula>IF(OR(ISNUMBER(O399),ISBLANK(F399)),FALSE,TRUE)</formula>
    </cfRule>
  </conditionalFormatting>
  <conditionalFormatting sqref="L399:L402">
    <cfRule type="expression" dxfId="119" priority="315" stopIfTrue="1">
      <formula>IF(AND(IF(L399&lt;TODAY(),TRUE,FALSE),ISBLANK(N399)),TRUE,FALSE)</formula>
    </cfRule>
    <cfRule type="expression" dxfId="118" priority="316" stopIfTrue="1">
      <formula>IF(AND(IF(M399="",FALSE,TRUE),IF(N399="",FALSE,TRUE))=TRUE,TRUE,FALSE)</formula>
    </cfRule>
    <cfRule type="expression" dxfId="117" priority="317" stopIfTrue="1">
      <formula>IF(AND(IF(L399&lt;TODAY(),TRUE,FALSE),ISBLANK(M399)),TRUE,FALSE)</formula>
    </cfRule>
  </conditionalFormatting>
  <conditionalFormatting sqref="M399:M402">
    <cfRule type="expression" dxfId="116" priority="312" stopIfTrue="1">
      <formula>IF(AND(IF(M399="",FALSE,TRUE),IF(N399="",FALSE,TRUE))=TRUE,TRUE,FALSE)</formula>
    </cfRule>
    <cfRule type="expression" dxfId="115" priority="313" stopIfTrue="1">
      <formula>IF(AND(ISBLANK(M399),IF(L399&lt;TODAY(),TRUE,FALSE))=FALSE,FALSE,TRUE)</formula>
    </cfRule>
    <cfRule type="expression" dxfId="114" priority="314" stopIfTrue="1">
      <formula>IF(AND(IF(L399="",FALSE,TRUE),IF(M399="",FALSE,TRUE))=FALSE,TRUE,FALSE)</formula>
    </cfRule>
  </conditionalFormatting>
  <conditionalFormatting sqref="Q399:Q402">
    <cfRule type="cellIs" dxfId="113" priority="311" stopIfTrue="1" operator="greaterThan">
      <formula>0</formula>
    </cfRule>
  </conditionalFormatting>
  <conditionalFormatting sqref="I373">
    <cfRule type="cellIs" dxfId="112" priority="296" stopIfTrue="1" operator="greaterThan">
      <formula>0</formula>
    </cfRule>
  </conditionalFormatting>
  <conditionalFormatting sqref="N373">
    <cfRule type="expression" dxfId="111" priority="294" stopIfTrue="1">
      <formula>IF(AND(ISBLANK(N373),IF(L373&lt;TODAY(),TRUE,FALSE))=FALSE,FALSE,TRUE)</formula>
    </cfRule>
    <cfRule type="expression" dxfId="110" priority="295" stopIfTrue="1">
      <formula>IF(AND(IF(M373="",FALSE,TRUE),IF(N373="",FALSE,TRUE))=TRUE,TRUE,FALSE)</formula>
    </cfRule>
  </conditionalFormatting>
  <conditionalFormatting sqref="O373">
    <cfRule type="expression" dxfId="109" priority="293" stopIfTrue="1">
      <formula>IF(OR(ISNUMBER(O373),ISBLANK(F373)),FALSE,TRUE)</formula>
    </cfRule>
  </conditionalFormatting>
  <conditionalFormatting sqref="L373">
    <cfRule type="expression" dxfId="108" priority="290" stopIfTrue="1">
      <formula>IF(AND(IF(L373&lt;TODAY(),TRUE,FALSE),ISBLANK(N373)),TRUE,FALSE)</formula>
    </cfRule>
    <cfRule type="expression" dxfId="107" priority="291" stopIfTrue="1">
      <formula>IF(AND(IF(M373="",FALSE,TRUE),IF(N373="",FALSE,TRUE))=TRUE,TRUE,FALSE)</formula>
    </cfRule>
    <cfRule type="expression" dxfId="106" priority="292" stopIfTrue="1">
      <formula>IF(AND(IF(L373&lt;TODAY(),TRUE,FALSE),ISBLANK(M373)),TRUE,FALSE)</formula>
    </cfRule>
  </conditionalFormatting>
  <conditionalFormatting sqref="M373">
    <cfRule type="expression" dxfId="105" priority="287" stopIfTrue="1">
      <formula>IF(AND(IF(M373="",FALSE,TRUE),IF(N373="",FALSE,TRUE))=TRUE,TRUE,FALSE)</formula>
    </cfRule>
    <cfRule type="expression" dxfId="104" priority="288" stopIfTrue="1">
      <formula>IF(AND(ISBLANK(M373),IF(L373&lt;TODAY(),TRUE,FALSE))=FALSE,FALSE,TRUE)</formula>
    </cfRule>
    <cfRule type="expression" dxfId="103" priority="289" stopIfTrue="1">
      <formula>IF(AND(IF(L373="",FALSE,TRUE),IF(M373="",FALSE,TRUE))=FALSE,TRUE,FALSE)</formula>
    </cfRule>
  </conditionalFormatting>
  <conditionalFormatting sqref="Q373">
    <cfRule type="cellIs" dxfId="102" priority="286" stopIfTrue="1" operator="greaterThan">
      <formula>0</formula>
    </cfRule>
  </conditionalFormatting>
  <conditionalFormatting sqref="I373">
    <cfRule type="cellIs" dxfId="101" priority="285" stopIfTrue="1" operator="greaterThan">
      <formula>0</formula>
    </cfRule>
  </conditionalFormatting>
  <conditionalFormatting sqref="N404:N406">
    <cfRule type="expression" dxfId="100" priority="283" stopIfTrue="1">
      <formula>IF(AND(ISBLANK(N404),IF(L404&lt;TODAY(),TRUE,FALSE))=FALSE,FALSE,TRUE)</formula>
    </cfRule>
    <cfRule type="expression" dxfId="99" priority="284" stopIfTrue="1">
      <formula>IF(AND(IF(M404="",FALSE,TRUE),IF(N404="",FALSE,TRUE))=TRUE,TRUE,FALSE)</formula>
    </cfRule>
  </conditionalFormatting>
  <conditionalFormatting sqref="O404:O406">
    <cfRule type="expression" dxfId="98" priority="282" stopIfTrue="1">
      <formula>IF(OR(ISNUMBER(O404),ISBLANK(F404)),FALSE,TRUE)</formula>
    </cfRule>
  </conditionalFormatting>
  <conditionalFormatting sqref="L404:L406">
    <cfRule type="expression" dxfId="97" priority="279" stopIfTrue="1">
      <formula>IF(AND(IF(L404&lt;TODAY(),TRUE,FALSE),ISBLANK(N404)),TRUE,FALSE)</formula>
    </cfRule>
    <cfRule type="expression" dxfId="96" priority="280" stopIfTrue="1">
      <formula>IF(AND(IF(M404="",FALSE,TRUE),IF(N404="",FALSE,TRUE))=TRUE,TRUE,FALSE)</formula>
    </cfRule>
    <cfRule type="expression" dxfId="95" priority="281" stopIfTrue="1">
      <formula>IF(AND(IF(L404&lt;TODAY(),TRUE,FALSE),ISBLANK(M404)),TRUE,FALSE)</formula>
    </cfRule>
  </conditionalFormatting>
  <conditionalFormatting sqref="M404:M406">
    <cfRule type="expression" dxfId="94" priority="276" stopIfTrue="1">
      <formula>IF(AND(IF(M404="",FALSE,TRUE),IF(N404="",FALSE,TRUE))=TRUE,TRUE,FALSE)</formula>
    </cfRule>
    <cfRule type="expression" dxfId="93" priority="277" stopIfTrue="1">
      <formula>IF(AND(ISBLANK(M404),IF(L404&lt;TODAY(),TRUE,FALSE))=FALSE,FALSE,TRUE)</formula>
    </cfRule>
    <cfRule type="expression" dxfId="92" priority="278" stopIfTrue="1">
      <formula>IF(AND(IF(L404="",FALSE,TRUE),IF(M404="",FALSE,TRUE))=FALSE,TRUE,FALSE)</formula>
    </cfRule>
  </conditionalFormatting>
  <conditionalFormatting sqref="Q404:Q406">
    <cfRule type="cellIs" dxfId="91" priority="275" stopIfTrue="1" operator="greaterThan">
      <formula>0</formula>
    </cfRule>
  </conditionalFormatting>
  <conditionalFormatting sqref="I404:I406">
    <cfRule type="cellIs" dxfId="90" priority="274" stopIfTrue="1" operator="greaterThan">
      <formula>0</formula>
    </cfRule>
  </conditionalFormatting>
  <conditionalFormatting sqref="N404:N406">
    <cfRule type="expression" dxfId="89" priority="272" stopIfTrue="1">
      <formula>IF(AND(ISBLANK(N404),IF(L404&lt;TODAY(),TRUE,FALSE))=FALSE,FALSE,TRUE)</formula>
    </cfRule>
    <cfRule type="expression" dxfId="88" priority="273" stopIfTrue="1">
      <formula>IF(AND(IF(M404="",FALSE,TRUE),IF(N404="",FALSE,TRUE))=TRUE,TRUE,FALSE)</formula>
    </cfRule>
  </conditionalFormatting>
  <conditionalFormatting sqref="O404:O406">
    <cfRule type="expression" dxfId="87" priority="271" stopIfTrue="1">
      <formula>IF(OR(ISNUMBER(O404),ISBLANK(F404)),FALSE,TRUE)</formula>
    </cfRule>
  </conditionalFormatting>
  <conditionalFormatting sqref="L404:L406">
    <cfRule type="expression" dxfId="86" priority="268" stopIfTrue="1">
      <formula>IF(AND(IF(L404&lt;TODAY(),TRUE,FALSE),ISBLANK(N404)),TRUE,FALSE)</formula>
    </cfRule>
    <cfRule type="expression" dxfId="85" priority="269" stopIfTrue="1">
      <formula>IF(AND(IF(M404="",FALSE,TRUE),IF(N404="",FALSE,TRUE))=TRUE,TRUE,FALSE)</formula>
    </cfRule>
    <cfRule type="expression" dxfId="84" priority="270" stopIfTrue="1">
      <formula>IF(AND(IF(L404&lt;TODAY(),TRUE,FALSE),ISBLANK(M404)),TRUE,FALSE)</formula>
    </cfRule>
  </conditionalFormatting>
  <conditionalFormatting sqref="M404:M406">
    <cfRule type="expression" dxfId="83" priority="265" stopIfTrue="1">
      <formula>IF(AND(IF(M404="",FALSE,TRUE),IF(N404="",FALSE,TRUE))=TRUE,TRUE,FALSE)</formula>
    </cfRule>
    <cfRule type="expression" dxfId="82" priority="266" stopIfTrue="1">
      <formula>IF(AND(ISBLANK(M404),IF(L404&lt;TODAY(),TRUE,FALSE))=FALSE,FALSE,TRUE)</formula>
    </cfRule>
    <cfRule type="expression" dxfId="81" priority="267" stopIfTrue="1">
      <formula>IF(AND(IF(L404="",FALSE,TRUE),IF(M404="",FALSE,TRUE))=FALSE,TRUE,FALSE)</formula>
    </cfRule>
  </conditionalFormatting>
  <conditionalFormatting sqref="Q404:Q406">
    <cfRule type="cellIs" dxfId="80" priority="264" stopIfTrue="1" operator="greaterThan">
      <formula>0</formula>
    </cfRule>
  </conditionalFormatting>
  <conditionalFormatting sqref="I404:I406">
    <cfRule type="cellIs" dxfId="79" priority="263" stopIfTrue="1" operator="greaterThan">
      <formula>0</formula>
    </cfRule>
  </conditionalFormatting>
  <conditionalFormatting sqref="N404:N406">
    <cfRule type="expression" dxfId="78" priority="261" stopIfTrue="1">
      <formula>IF(AND(ISBLANK(N404),IF(L404&lt;TODAY(),TRUE,FALSE))=FALSE,FALSE,TRUE)</formula>
    </cfRule>
    <cfRule type="expression" dxfId="77" priority="262" stopIfTrue="1">
      <formula>IF(AND(IF(M404="",FALSE,TRUE),IF(N404="",FALSE,TRUE))=TRUE,TRUE,FALSE)</formula>
    </cfRule>
  </conditionalFormatting>
  <conditionalFormatting sqref="O404:O406">
    <cfRule type="expression" dxfId="76" priority="260" stopIfTrue="1">
      <formula>IF(OR(ISNUMBER(O404),ISBLANK(F404)),FALSE,TRUE)</formula>
    </cfRule>
  </conditionalFormatting>
  <conditionalFormatting sqref="L404:L406">
    <cfRule type="expression" dxfId="75" priority="257" stopIfTrue="1">
      <formula>IF(AND(IF(L404&lt;TODAY(),TRUE,FALSE),ISBLANK(N404)),TRUE,FALSE)</formula>
    </cfRule>
    <cfRule type="expression" dxfId="74" priority="258" stopIfTrue="1">
      <formula>IF(AND(IF(M404="",FALSE,TRUE),IF(N404="",FALSE,TRUE))=TRUE,TRUE,FALSE)</formula>
    </cfRule>
    <cfRule type="expression" dxfId="73" priority="259" stopIfTrue="1">
      <formula>IF(AND(IF(L404&lt;TODAY(),TRUE,FALSE),ISBLANK(M404)),TRUE,FALSE)</formula>
    </cfRule>
  </conditionalFormatting>
  <conditionalFormatting sqref="M404:M406">
    <cfRule type="expression" dxfId="72" priority="254" stopIfTrue="1">
      <formula>IF(AND(IF(M404="",FALSE,TRUE),IF(N404="",FALSE,TRUE))=TRUE,TRUE,FALSE)</formula>
    </cfRule>
    <cfRule type="expression" dxfId="71" priority="255" stopIfTrue="1">
      <formula>IF(AND(ISBLANK(M404),IF(L404&lt;TODAY(),TRUE,FALSE))=FALSE,FALSE,TRUE)</formula>
    </cfRule>
    <cfRule type="expression" dxfId="70" priority="256" stopIfTrue="1">
      <formula>IF(AND(IF(L404="",FALSE,TRUE),IF(M404="",FALSE,TRUE))=FALSE,TRUE,FALSE)</formula>
    </cfRule>
  </conditionalFormatting>
  <conditionalFormatting sqref="Q404:Q406">
    <cfRule type="cellIs" dxfId="69" priority="253" stopIfTrue="1" operator="greaterThan">
      <formula>0</formula>
    </cfRule>
  </conditionalFormatting>
  <conditionalFormatting sqref="N405:N406">
    <cfRule type="expression" dxfId="68" priority="251" stopIfTrue="1">
      <formula>IF(AND(ISBLANK(N405),IF(L405&lt;TODAY(),TRUE,FALSE))=FALSE,FALSE,TRUE)</formula>
    </cfRule>
    <cfRule type="expression" dxfId="67" priority="252" stopIfTrue="1">
      <formula>IF(AND(IF(M405="",FALSE,TRUE),IF(N405="",FALSE,TRUE))=TRUE,TRUE,FALSE)</formula>
    </cfRule>
  </conditionalFormatting>
  <conditionalFormatting sqref="O405:O406">
    <cfRule type="expression" dxfId="66" priority="250" stopIfTrue="1">
      <formula>IF(OR(ISNUMBER(O405),ISBLANK(F405)),FALSE,TRUE)</formula>
    </cfRule>
  </conditionalFormatting>
  <conditionalFormatting sqref="L405:L406">
    <cfRule type="expression" dxfId="65" priority="247" stopIfTrue="1">
      <formula>IF(AND(IF(L405&lt;TODAY(),TRUE,FALSE),ISBLANK(N405)),TRUE,FALSE)</formula>
    </cfRule>
    <cfRule type="expression" dxfId="64" priority="248" stopIfTrue="1">
      <formula>IF(AND(IF(M405="",FALSE,TRUE),IF(N405="",FALSE,TRUE))=TRUE,TRUE,FALSE)</formula>
    </cfRule>
    <cfRule type="expression" dxfId="63" priority="249" stopIfTrue="1">
      <formula>IF(AND(IF(L405&lt;TODAY(),TRUE,FALSE),ISBLANK(M405)),TRUE,FALSE)</formula>
    </cfRule>
  </conditionalFormatting>
  <conditionalFormatting sqref="M405:M406">
    <cfRule type="expression" dxfId="62" priority="244" stopIfTrue="1">
      <formula>IF(AND(IF(M405="",FALSE,TRUE),IF(N405="",FALSE,TRUE))=TRUE,TRUE,FALSE)</formula>
    </cfRule>
    <cfRule type="expression" dxfId="61" priority="245" stopIfTrue="1">
      <formula>IF(AND(ISBLANK(M405),IF(L405&lt;TODAY(),TRUE,FALSE))=FALSE,FALSE,TRUE)</formula>
    </cfRule>
    <cfRule type="expression" dxfId="60" priority="246" stopIfTrue="1">
      <formula>IF(AND(IF(L405="",FALSE,TRUE),IF(M405="",FALSE,TRUE))=FALSE,TRUE,FALSE)</formula>
    </cfRule>
  </conditionalFormatting>
  <conditionalFormatting sqref="Q405:Q406">
    <cfRule type="cellIs" dxfId="59" priority="243" stopIfTrue="1" operator="greaterThan">
      <formula>0</formula>
    </cfRule>
  </conditionalFormatting>
  <conditionalFormatting sqref="I405:I406">
    <cfRule type="cellIs" dxfId="58" priority="242" stopIfTrue="1" operator="greaterThan">
      <formula>0</formula>
    </cfRule>
  </conditionalFormatting>
  <conditionalFormatting sqref="I405:I406">
    <cfRule type="cellIs" dxfId="57" priority="241" stopIfTrue="1" operator="greaterThan">
      <formula>0</formula>
    </cfRule>
  </conditionalFormatting>
  <conditionalFormatting sqref="N406">
    <cfRule type="expression" dxfId="56" priority="239" stopIfTrue="1">
      <formula>IF(AND(ISBLANK(N406),IF(L406&lt;TODAY(),TRUE,FALSE))=FALSE,FALSE,TRUE)</formula>
    </cfRule>
    <cfRule type="expression" dxfId="55" priority="240" stopIfTrue="1">
      <formula>IF(AND(IF(M406="",FALSE,TRUE),IF(N406="",FALSE,TRUE))=TRUE,TRUE,FALSE)</formula>
    </cfRule>
  </conditionalFormatting>
  <conditionalFormatting sqref="O406">
    <cfRule type="expression" dxfId="54" priority="238" stopIfTrue="1">
      <formula>IF(OR(ISNUMBER(O406),ISBLANK(F406)),FALSE,TRUE)</formula>
    </cfRule>
  </conditionalFormatting>
  <conditionalFormatting sqref="L406">
    <cfRule type="expression" dxfId="53" priority="235" stopIfTrue="1">
      <formula>IF(AND(IF(L406&lt;TODAY(),TRUE,FALSE),ISBLANK(N406)),TRUE,FALSE)</formula>
    </cfRule>
    <cfRule type="expression" dxfId="52" priority="236" stopIfTrue="1">
      <formula>IF(AND(IF(M406="",FALSE,TRUE),IF(N406="",FALSE,TRUE))=TRUE,TRUE,FALSE)</formula>
    </cfRule>
    <cfRule type="expression" dxfId="51" priority="237" stopIfTrue="1">
      <formula>IF(AND(IF(L406&lt;TODAY(),TRUE,FALSE),ISBLANK(M406)),TRUE,FALSE)</formula>
    </cfRule>
  </conditionalFormatting>
  <conditionalFormatting sqref="M406">
    <cfRule type="expression" dxfId="50" priority="232" stopIfTrue="1">
      <formula>IF(AND(IF(M406="",FALSE,TRUE),IF(N406="",FALSE,TRUE))=TRUE,TRUE,FALSE)</formula>
    </cfRule>
    <cfRule type="expression" dxfId="49" priority="233" stopIfTrue="1">
      <formula>IF(AND(ISBLANK(M406),IF(L406&lt;TODAY(),TRUE,FALSE))=FALSE,FALSE,TRUE)</formula>
    </cfRule>
    <cfRule type="expression" dxfId="48" priority="234" stopIfTrue="1">
      <formula>IF(AND(IF(L406="",FALSE,TRUE),IF(M406="",FALSE,TRUE))=FALSE,TRUE,FALSE)</formula>
    </cfRule>
  </conditionalFormatting>
  <conditionalFormatting sqref="Q406">
    <cfRule type="cellIs" dxfId="47" priority="231" stopIfTrue="1" operator="greaterThan">
      <formula>0</formula>
    </cfRule>
  </conditionalFormatting>
  <conditionalFormatting sqref="I406">
    <cfRule type="cellIs" dxfId="46" priority="230" stopIfTrue="1" operator="greaterThan">
      <formula>0</formula>
    </cfRule>
  </conditionalFormatting>
  <conditionalFormatting sqref="N406">
    <cfRule type="expression" dxfId="45" priority="228" stopIfTrue="1">
      <formula>IF(AND(ISBLANK(N406),IF(L406&lt;TODAY(),TRUE,FALSE))=FALSE,FALSE,TRUE)</formula>
    </cfRule>
    <cfRule type="expression" dxfId="44" priority="229" stopIfTrue="1">
      <formula>IF(AND(IF(M406="",FALSE,TRUE),IF(N406="",FALSE,TRUE))=TRUE,TRUE,FALSE)</formula>
    </cfRule>
  </conditionalFormatting>
  <conditionalFormatting sqref="O406">
    <cfRule type="expression" dxfId="43" priority="227" stopIfTrue="1">
      <formula>IF(OR(ISNUMBER(O406),ISBLANK(F406)),FALSE,TRUE)</formula>
    </cfRule>
  </conditionalFormatting>
  <conditionalFormatting sqref="L406">
    <cfRule type="expression" dxfId="42" priority="224" stopIfTrue="1">
      <formula>IF(AND(IF(L406&lt;TODAY(),TRUE,FALSE),ISBLANK(N406)),TRUE,FALSE)</formula>
    </cfRule>
    <cfRule type="expression" dxfId="41" priority="225" stopIfTrue="1">
      <formula>IF(AND(IF(M406="",FALSE,TRUE),IF(N406="",FALSE,TRUE))=TRUE,TRUE,FALSE)</formula>
    </cfRule>
    <cfRule type="expression" dxfId="40" priority="226" stopIfTrue="1">
      <formula>IF(AND(IF(L406&lt;TODAY(),TRUE,FALSE),ISBLANK(M406)),TRUE,FALSE)</formula>
    </cfRule>
  </conditionalFormatting>
  <conditionalFormatting sqref="M406">
    <cfRule type="expression" dxfId="39" priority="221" stopIfTrue="1">
      <formula>IF(AND(IF(M406="",FALSE,TRUE),IF(N406="",FALSE,TRUE))=TRUE,TRUE,FALSE)</formula>
    </cfRule>
    <cfRule type="expression" dxfId="38" priority="222" stopIfTrue="1">
      <formula>IF(AND(ISBLANK(M406),IF(L406&lt;TODAY(),TRUE,FALSE))=FALSE,FALSE,TRUE)</formula>
    </cfRule>
    <cfRule type="expression" dxfId="37" priority="223" stopIfTrue="1">
      <formula>IF(AND(IF(L406="",FALSE,TRUE),IF(M406="",FALSE,TRUE))=FALSE,TRUE,FALSE)</formula>
    </cfRule>
  </conditionalFormatting>
  <conditionalFormatting sqref="Q406">
    <cfRule type="cellIs" dxfId="36" priority="220" stopIfTrue="1" operator="greaterThan">
      <formula>0</formula>
    </cfRule>
  </conditionalFormatting>
  <conditionalFormatting sqref="I406">
    <cfRule type="cellIs" dxfId="35" priority="219" stopIfTrue="1" operator="greaterThan">
      <formula>0</formula>
    </cfRule>
  </conditionalFormatting>
  <conditionalFormatting sqref="N406">
    <cfRule type="expression" dxfId="34" priority="217" stopIfTrue="1">
      <formula>IF(AND(ISBLANK(N406),IF(L406&lt;TODAY(),TRUE,FALSE))=FALSE,FALSE,TRUE)</formula>
    </cfRule>
    <cfRule type="expression" dxfId="33" priority="218" stopIfTrue="1">
      <formula>IF(AND(IF(M406="",FALSE,TRUE),IF(N406="",FALSE,TRUE))=TRUE,TRUE,FALSE)</formula>
    </cfRule>
  </conditionalFormatting>
  <conditionalFormatting sqref="O406">
    <cfRule type="expression" dxfId="32" priority="216" stopIfTrue="1">
      <formula>IF(OR(ISNUMBER(O406),ISBLANK(F406)),FALSE,TRUE)</formula>
    </cfRule>
  </conditionalFormatting>
  <conditionalFormatting sqref="L406">
    <cfRule type="expression" dxfId="31" priority="213" stopIfTrue="1">
      <formula>IF(AND(IF(L406&lt;TODAY(),TRUE,FALSE),ISBLANK(N406)),TRUE,FALSE)</formula>
    </cfRule>
    <cfRule type="expression" dxfId="30" priority="214" stopIfTrue="1">
      <formula>IF(AND(IF(M406="",FALSE,TRUE),IF(N406="",FALSE,TRUE))=TRUE,TRUE,FALSE)</formula>
    </cfRule>
    <cfRule type="expression" dxfId="29" priority="215" stopIfTrue="1">
      <formula>IF(AND(IF(L406&lt;TODAY(),TRUE,FALSE),ISBLANK(M406)),TRUE,FALSE)</formula>
    </cfRule>
  </conditionalFormatting>
  <conditionalFormatting sqref="M406">
    <cfRule type="expression" dxfId="28" priority="210" stopIfTrue="1">
      <formula>IF(AND(IF(M406="",FALSE,TRUE),IF(N406="",FALSE,TRUE))=TRUE,TRUE,FALSE)</formula>
    </cfRule>
    <cfRule type="expression" dxfId="27" priority="211" stopIfTrue="1">
      <formula>IF(AND(ISBLANK(M406),IF(L406&lt;TODAY(),TRUE,FALSE))=FALSE,FALSE,TRUE)</formula>
    </cfRule>
    <cfRule type="expression" dxfId="26" priority="212" stopIfTrue="1">
      <formula>IF(AND(IF(L406="",FALSE,TRUE),IF(M406="",FALSE,TRUE))=FALSE,TRUE,FALSE)</formula>
    </cfRule>
  </conditionalFormatting>
  <conditionalFormatting sqref="Q406">
    <cfRule type="cellIs" dxfId="25" priority="209" stopIfTrue="1" operator="greaterThan">
      <formula>0</formula>
    </cfRule>
  </conditionalFormatting>
  <conditionalFormatting sqref="N406">
    <cfRule type="expression" dxfId="24" priority="207" stopIfTrue="1">
      <formula>IF(AND(ISBLANK(N406),IF(L406&lt;TODAY(),TRUE,FALSE))=FALSE,FALSE,TRUE)</formula>
    </cfRule>
    <cfRule type="expression" dxfId="23" priority="208" stopIfTrue="1">
      <formula>IF(AND(IF(M406="",FALSE,TRUE),IF(N406="",FALSE,TRUE))=TRUE,TRUE,FALSE)</formula>
    </cfRule>
  </conditionalFormatting>
  <conditionalFormatting sqref="O406">
    <cfRule type="expression" dxfId="22" priority="206" stopIfTrue="1">
      <formula>IF(OR(ISNUMBER(O406),ISBLANK(F406)),FALSE,TRUE)</formula>
    </cfRule>
  </conditionalFormatting>
  <conditionalFormatting sqref="L406">
    <cfRule type="expression" dxfId="21" priority="203" stopIfTrue="1">
      <formula>IF(AND(IF(L406&lt;TODAY(),TRUE,FALSE),ISBLANK(N406)),TRUE,FALSE)</formula>
    </cfRule>
    <cfRule type="expression" dxfId="20" priority="204" stopIfTrue="1">
      <formula>IF(AND(IF(M406="",FALSE,TRUE),IF(N406="",FALSE,TRUE))=TRUE,TRUE,FALSE)</formula>
    </cfRule>
    <cfRule type="expression" dxfId="19" priority="205" stopIfTrue="1">
      <formula>IF(AND(IF(L406&lt;TODAY(),TRUE,FALSE),ISBLANK(M406)),TRUE,FALSE)</formula>
    </cfRule>
  </conditionalFormatting>
  <conditionalFormatting sqref="M406">
    <cfRule type="expression" dxfId="18" priority="200" stopIfTrue="1">
      <formula>IF(AND(IF(M406="",FALSE,TRUE),IF(N406="",FALSE,TRUE))=TRUE,TRUE,FALSE)</formula>
    </cfRule>
    <cfRule type="expression" dxfId="17" priority="201" stopIfTrue="1">
      <formula>IF(AND(ISBLANK(M406),IF(L406&lt;TODAY(),TRUE,FALSE))=FALSE,FALSE,TRUE)</formula>
    </cfRule>
    <cfRule type="expression" dxfId="16" priority="202" stopIfTrue="1">
      <formula>IF(AND(IF(L406="",FALSE,TRUE),IF(M406="",FALSE,TRUE))=FALSE,TRUE,FALSE)</formula>
    </cfRule>
  </conditionalFormatting>
  <conditionalFormatting sqref="Q406">
    <cfRule type="cellIs" dxfId="15" priority="199" stopIfTrue="1" operator="greaterThan">
      <formula>0</formula>
    </cfRule>
  </conditionalFormatting>
  <conditionalFormatting sqref="I406">
    <cfRule type="cellIs" dxfId="14" priority="198" stopIfTrue="1" operator="greaterThan">
      <formula>0</formula>
    </cfRule>
  </conditionalFormatting>
  <conditionalFormatting sqref="I406">
    <cfRule type="cellIs" dxfId="13" priority="197" stopIfTrue="1" operator="greaterThan">
      <formula>0</formula>
    </cfRule>
  </conditionalFormatting>
  <conditionalFormatting sqref="N406">
    <cfRule type="expression" dxfId="12" priority="195" stopIfTrue="1">
      <formula>IF(AND(ISBLANK(N406),IF(L406&lt;TODAY(),TRUE,FALSE))=FALSE,FALSE,TRUE)</formula>
    </cfRule>
    <cfRule type="expression" dxfId="11" priority="196" stopIfTrue="1">
      <formula>IF(AND(IF(M406="",FALSE,TRUE),IF(N406="",FALSE,TRUE))=TRUE,TRUE,FALSE)</formula>
    </cfRule>
  </conditionalFormatting>
  <conditionalFormatting sqref="O406">
    <cfRule type="expression" dxfId="10" priority="194" stopIfTrue="1">
      <formula>IF(OR(ISNUMBER(O406),ISBLANK(F406)),FALSE,TRUE)</formula>
    </cfRule>
  </conditionalFormatting>
  <conditionalFormatting sqref="L406">
    <cfRule type="expression" dxfId="9" priority="191" stopIfTrue="1">
      <formula>IF(AND(IF(L406&lt;TODAY(),TRUE,FALSE),ISBLANK(N406)),TRUE,FALSE)</formula>
    </cfRule>
    <cfRule type="expression" dxfId="8" priority="192" stopIfTrue="1">
      <formula>IF(AND(IF(M406="",FALSE,TRUE),IF(N406="",FALSE,TRUE))=TRUE,TRUE,FALSE)</formula>
    </cfRule>
    <cfRule type="expression" dxfId="7" priority="193" stopIfTrue="1">
      <formula>IF(AND(IF(L406&lt;TODAY(),TRUE,FALSE),ISBLANK(M406)),TRUE,FALSE)</formula>
    </cfRule>
  </conditionalFormatting>
  <conditionalFormatting sqref="M406">
    <cfRule type="expression" dxfId="6" priority="188" stopIfTrue="1">
      <formula>IF(AND(IF(M406="",FALSE,TRUE),IF(N406="",FALSE,TRUE))=TRUE,TRUE,FALSE)</formula>
    </cfRule>
    <cfRule type="expression" dxfId="5" priority="189" stopIfTrue="1">
      <formula>IF(AND(ISBLANK(M406),IF(L406&lt;TODAY(),TRUE,FALSE))=FALSE,FALSE,TRUE)</formula>
    </cfRule>
    <cfRule type="expression" dxfId="4" priority="190" stopIfTrue="1">
      <formula>IF(AND(IF(L406="",FALSE,TRUE),IF(M406="",FALSE,TRUE))=FALSE,TRUE,FALSE)</formula>
    </cfRule>
  </conditionalFormatting>
  <conditionalFormatting sqref="Q406">
    <cfRule type="cellIs" dxfId="3" priority="187" stopIfTrue="1" operator="greaterThan">
      <formula>0</formula>
    </cfRule>
  </conditionalFormatting>
  <conditionalFormatting sqref="I406">
    <cfRule type="cellIs" dxfId="2" priority="186" stopIfTrue="1" operator="greaterThan">
      <formula>0</formula>
    </cfRule>
  </conditionalFormatting>
  <conditionalFormatting sqref="I313">
    <cfRule type="cellIs" dxfId="1" priority="185" stopIfTrue="1" operator="greaterThan">
      <formula>0</formula>
    </cfRule>
  </conditionalFormatting>
  <conditionalFormatting sqref="I313">
    <cfRule type="cellIs" dxfId="0" priority="184" stopIfTrue="1" operator="greaterThan">
      <formula>0</formula>
    </cfRule>
  </conditionalFormatting>
  <hyperlinks>
    <hyperlink ref="C5" r:id="rId1"/>
    <hyperlink ref="J398" r:id="rId2"/>
    <hyperlink ref="J399" r:id="rId3"/>
    <hyperlink ref="J400" r:id="rId4"/>
    <hyperlink ref="J401" r:id="rId5"/>
    <hyperlink ref="J402" r:id="rId6"/>
    <hyperlink ref="J360" r:id="rId7"/>
    <hyperlink ref="J406" r:id="rId8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9"/>
  <headerFooter alignWithMargins="0">
    <oddFooter>&amp;L&amp;8&amp;Z&amp;F&amp;F&amp;R&amp;P/&amp;N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6</vt:i4>
      </vt:variant>
    </vt:vector>
  </HeadingPairs>
  <TitlesOfParts>
    <vt:vector size="9" baseType="lpstr">
      <vt:lpstr>t2</vt:lpstr>
      <vt:lpstr>t3</vt:lpstr>
      <vt:lpstr>t7</vt:lpstr>
      <vt:lpstr>'t2'!all</vt:lpstr>
      <vt:lpstr>'t3'!all</vt:lpstr>
      <vt:lpstr>'t7'!all</vt:lpstr>
      <vt:lpstr>'t2'!Print_Area</vt:lpstr>
      <vt:lpstr>'t3'!Print_Area</vt:lpstr>
      <vt:lpstr>'t7'!Print_Area</vt:lpstr>
    </vt:vector>
  </TitlesOfParts>
  <Company>SIGMA 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kmarciszkiewicz</dc:creator>
  <cp:lastModifiedBy>Bartłomiej Pokrzywa</cp:lastModifiedBy>
  <cp:lastPrinted>2014-06-10T09:24:20Z</cp:lastPrinted>
  <dcterms:created xsi:type="dcterms:W3CDTF">2001-11-19T13:15:04Z</dcterms:created>
  <dcterms:modified xsi:type="dcterms:W3CDTF">2015-11-19T14:00:42Z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WorkbookGuid">
    <vt:lpwstr>dae74cd6-31ea-4ddb-97ac-b14914bc3fb7</vt:lpwstr>
  </property>
</Properties>
</file>