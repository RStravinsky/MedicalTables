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13530" yWindow="1065" windowWidth="15270" windowHeight="12345" activeTab="3"/>
  </bookViews>
  <sheets>
    <sheet name="t2" sheetId="28" r:id="rId1"/>
    <sheet name="t3" sheetId="29" r:id="rId2"/>
    <sheet name="t7" sheetId="27" r:id="rId3"/>
    <sheet name="harm" sheetId="31" r:id="rId4"/>
  </sheets>
  <functionGroups builtInGroupCount="17"/>
  <definedNames>
    <definedName name="_FilterDatabase" localSheetId="3" hidden="1">harm!$A$6:$CO$171</definedName>
    <definedName name="_FilterDatabase" localSheetId="0" hidden="1">'t2'!$A$6:$CO$286</definedName>
    <definedName name="_FilterDatabase" localSheetId="1" hidden="1">'t3'!$A$6:$CO$404</definedName>
    <definedName name="_FilterDatabase" localSheetId="2" hidden="1">'t7'!$A$6:$CO$407</definedName>
    <definedName name="all" localSheetId="3">harm!$B$6:$P$153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3">harm!#REF!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3">harm!$A$1:$J$184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3" hidden="1">harm!$L:$P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3" hidden="1">harm!$B$6:$P$153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45621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S272" i="31" l="1"/>
  <c r="S271" i="31"/>
  <c r="S270" i="31"/>
  <c r="S269" i="31"/>
  <c r="S268" i="31"/>
  <c r="S267" i="31"/>
  <c r="S266" i="31"/>
  <c r="S265" i="31"/>
  <c r="S264" i="31"/>
  <c r="S263" i="31"/>
  <c r="S262" i="31"/>
  <c r="S261" i="31"/>
  <c r="S260" i="31"/>
  <c r="S259" i="31"/>
  <c r="S258" i="31"/>
  <c r="S257" i="31"/>
  <c r="S256" i="31"/>
  <c r="S255" i="31"/>
  <c r="S254" i="31"/>
  <c r="S253" i="31"/>
  <c r="S252" i="31"/>
  <c r="S251" i="31"/>
  <c r="S250" i="31"/>
  <c r="S249" i="31"/>
  <c r="S248" i="31"/>
  <c r="S247" i="31"/>
  <c r="E199" i="31"/>
  <c r="E198" i="31"/>
  <c r="E197" i="31"/>
  <c r="D197" i="31"/>
  <c r="E188" i="31"/>
  <c r="D188" i="31"/>
  <c r="R173" i="31"/>
  <c r="P171" i="31"/>
  <c r="P175" i="31" s="1"/>
  <c r="G160" i="31"/>
  <c r="G153" i="31"/>
  <c r="G152" i="31"/>
  <c r="G151" i="31"/>
  <c r="G150" i="31"/>
  <c r="G149" i="31"/>
  <c r="G148" i="31"/>
  <c r="G147" i="31"/>
  <c r="G146" i="31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G126" i="31"/>
  <c r="G125" i="31"/>
  <c r="G124" i="31"/>
  <c r="G123" i="31"/>
  <c r="G122" i="31"/>
  <c r="G121" i="31"/>
  <c r="G120" i="31"/>
  <c r="G119" i="31"/>
  <c r="G118" i="31"/>
  <c r="G117" i="31"/>
  <c r="G116" i="31"/>
  <c r="G115" i="31"/>
  <c r="G114" i="31"/>
  <c r="G113" i="31"/>
  <c r="G112" i="31"/>
  <c r="G111" i="31"/>
  <c r="G110" i="31"/>
  <c r="G109" i="31"/>
  <c r="G108" i="31"/>
  <c r="G107" i="31"/>
  <c r="G106" i="31"/>
  <c r="G104" i="31"/>
  <c r="G103" i="31"/>
  <c r="G102" i="31"/>
  <c r="G101" i="31"/>
  <c r="G100" i="31"/>
  <c r="G99" i="31"/>
  <c r="G98" i="31"/>
  <c r="G97" i="31"/>
  <c r="G96" i="31"/>
  <c r="G95" i="31"/>
  <c r="G94" i="31"/>
  <c r="G93" i="31"/>
  <c r="G92" i="31"/>
  <c r="G91" i="31"/>
  <c r="G90" i="31"/>
  <c r="G89" i="31"/>
  <c r="G88" i="31"/>
  <c r="G87" i="31"/>
  <c r="G86" i="31"/>
  <c r="G85" i="31"/>
  <c r="G84" i="31"/>
  <c r="G83" i="31"/>
  <c r="G82" i="31"/>
  <c r="G81" i="31"/>
  <c r="G80" i="31"/>
  <c r="G79" i="31"/>
  <c r="G78" i="31"/>
  <c r="G77" i="31"/>
  <c r="G76" i="31"/>
  <c r="G75" i="31"/>
  <c r="G74" i="31"/>
  <c r="G73" i="31"/>
  <c r="G72" i="31"/>
  <c r="G71" i="31"/>
  <c r="G70" i="31"/>
  <c r="G69" i="31"/>
  <c r="G68" i="31"/>
  <c r="G67" i="31"/>
  <c r="G66" i="31"/>
  <c r="G65" i="31"/>
  <c r="G63" i="31"/>
  <c r="G62" i="31"/>
  <c r="G61" i="31"/>
  <c r="G60" i="31"/>
  <c r="G59" i="31"/>
  <c r="G58" i="31"/>
  <c r="G57" i="31"/>
  <c r="G56" i="31"/>
  <c r="G55" i="31"/>
  <c r="G54" i="31"/>
  <c r="G53" i="31"/>
  <c r="G52" i="31"/>
  <c r="G51" i="31"/>
  <c r="G50" i="31"/>
  <c r="G49" i="31"/>
  <c r="G48" i="31"/>
  <c r="G47" i="31"/>
  <c r="G46" i="31"/>
  <c r="G45" i="31"/>
  <c r="G44" i="31"/>
  <c r="G43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P4" i="31"/>
  <c r="D4" i="31"/>
  <c r="R3" i="31"/>
  <c r="L3" i="31"/>
  <c r="G175" i="31" l="1"/>
  <c r="S171" i="31"/>
  <c r="T171" i="31"/>
  <c r="T173" i="31" s="1"/>
  <c r="G173" i="31"/>
  <c r="P173" i="31"/>
  <c r="G275" i="28"/>
  <c r="G184" i="28"/>
  <c r="G183" i="28"/>
  <c r="G182" i="28"/>
  <c r="G313" i="27"/>
  <c r="G205" i="28"/>
  <c r="G206" i="28"/>
  <c r="E314" i="27"/>
  <c r="G314" i="27" s="1"/>
  <c r="G307" i="29"/>
  <c r="G373" i="27"/>
  <c r="G374" i="27"/>
  <c r="G370" i="29"/>
  <c r="G251" i="28"/>
  <c r="E283" i="27" l="1"/>
  <c r="G283" i="27" s="1"/>
  <c r="E279" i="29"/>
  <c r="G279" i="29" s="1"/>
  <c r="E224" i="28"/>
  <c r="G224" i="28" s="1"/>
  <c r="E223" i="28"/>
  <c r="G223" i="28" s="1"/>
  <c r="E217" i="28"/>
  <c r="G217" i="28" s="1"/>
  <c r="G226" i="28"/>
  <c r="G219" i="28"/>
  <c r="G210" i="28"/>
  <c r="E196" i="28"/>
  <c r="G196" i="28" s="1"/>
  <c r="E195" i="28"/>
  <c r="G195" i="28" s="1"/>
  <c r="E194" i="28"/>
  <c r="G194" i="28" s="1"/>
  <c r="E193" i="28"/>
  <c r="G193" i="28" s="1"/>
  <c r="E192" i="28"/>
  <c r="G192" i="28" s="1"/>
  <c r="G191" i="28"/>
  <c r="E191" i="28"/>
  <c r="E190" i="28"/>
  <c r="G190" i="28" s="1"/>
  <c r="E189" i="28"/>
  <c r="G189" i="28" s="1"/>
  <c r="E188" i="28"/>
  <c r="G188" i="28" s="1"/>
  <c r="E187" i="28"/>
  <c r="G187" i="28" s="1"/>
  <c r="E186" i="28"/>
  <c r="G186" i="28" s="1"/>
  <c r="G185" i="28"/>
  <c r="E185" i="28"/>
  <c r="G197" i="28"/>
  <c r="G198" i="28"/>
  <c r="G199" i="28"/>
  <c r="G200" i="28"/>
  <c r="G201" i="28"/>
  <c r="G202" i="28"/>
  <c r="G203" i="28"/>
  <c r="G204" i="28"/>
  <c r="G207" i="28"/>
  <c r="G208" i="28"/>
  <c r="G209" i="28"/>
  <c r="E176" i="28"/>
  <c r="G176" i="28" s="1"/>
  <c r="E175" i="28"/>
  <c r="G175" i="28" s="1"/>
  <c r="E174" i="28"/>
  <c r="G174" i="28" s="1"/>
  <c r="G173" i="28"/>
  <c r="E173" i="28"/>
  <c r="E164" i="28"/>
  <c r="G164" i="28" s="1"/>
  <c r="E163" i="28"/>
  <c r="G163" i="28" s="1"/>
  <c r="E162" i="28"/>
  <c r="G162" i="28" s="1"/>
  <c r="G161" i="28"/>
  <c r="E161" i="28"/>
  <c r="E160" i="28"/>
  <c r="G160" i="28" s="1"/>
  <c r="E159" i="28"/>
  <c r="G159" i="28" s="1"/>
  <c r="E158" i="28"/>
  <c r="G158" i="28" s="1"/>
  <c r="G157" i="28"/>
  <c r="E157" i="28"/>
  <c r="E156" i="28"/>
  <c r="G156" i="28" s="1"/>
  <c r="E155" i="28"/>
  <c r="G155" i="28" s="1"/>
  <c r="E154" i="28"/>
  <c r="G154" i="28" s="1"/>
  <c r="G153" i="28"/>
  <c r="E153" i="28"/>
  <c r="G165" i="28"/>
  <c r="E166" i="28"/>
  <c r="G166" i="28" s="1"/>
  <c r="E167" i="28"/>
  <c r="G167" i="28" s="1"/>
  <c r="E168" i="28"/>
  <c r="G168" i="28" s="1"/>
  <c r="E169" i="28"/>
  <c r="G169" i="28" s="1"/>
  <c r="E170" i="28"/>
  <c r="G170" i="28" s="1"/>
  <c r="E171" i="28"/>
  <c r="G171" i="28" s="1"/>
  <c r="E172" i="28"/>
  <c r="G172" i="28" s="1"/>
  <c r="G177" i="28"/>
  <c r="E178" i="28"/>
  <c r="G178" i="28"/>
  <c r="E179" i="28"/>
  <c r="G179" i="28" s="1"/>
  <c r="E180" i="28"/>
  <c r="G180" i="28"/>
  <c r="E148" i="28"/>
  <c r="G148" i="28" s="1"/>
  <c r="E147" i="28"/>
  <c r="G147" i="28" s="1"/>
  <c r="E146" i="28"/>
  <c r="G146" i="28" s="1"/>
  <c r="G145" i="28"/>
  <c r="G66" i="28"/>
  <c r="G65" i="28"/>
  <c r="G64" i="28"/>
  <c r="G63" i="28"/>
  <c r="G62" i="28"/>
  <c r="G61" i="28"/>
  <c r="G60" i="28"/>
  <c r="G318" i="29"/>
  <c r="G323" i="27"/>
  <c r="E324" i="27"/>
  <c r="G324" i="27" s="1"/>
  <c r="E344" i="29"/>
  <c r="G344" i="29"/>
  <c r="E336" i="29"/>
  <c r="G336" i="29"/>
  <c r="G313" i="29"/>
  <c r="E343" i="29"/>
  <c r="E335" i="29"/>
  <c r="G210" i="29"/>
  <c r="G209" i="29"/>
  <c r="G208" i="29"/>
  <c r="G206" i="29"/>
  <c r="G205" i="29"/>
  <c r="G204" i="29"/>
  <c r="G80" i="28"/>
  <c r="G78" i="28"/>
  <c r="G72" i="29"/>
  <c r="G50" i="29"/>
  <c r="G49" i="29"/>
  <c r="G48" i="29"/>
  <c r="G47" i="29"/>
  <c r="G46" i="29"/>
  <c r="G45" i="29"/>
  <c r="G44" i="29"/>
  <c r="G43" i="29"/>
  <c r="G42" i="29"/>
  <c r="G62" i="27"/>
  <c r="G50" i="28"/>
  <c r="G49" i="28"/>
  <c r="G48" i="28"/>
  <c r="G47" i="28"/>
  <c r="G46" i="28"/>
  <c r="G45" i="28"/>
  <c r="G44" i="28"/>
  <c r="G43" i="28"/>
  <c r="G42" i="28"/>
  <c r="G225" i="28"/>
  <c r="G222" i="28"/>
  <c r="G221" i="28"/>
  <c r="G220" i="28"/>
  <c r="G218" i="28"/>
  <c r="G216" i="28"/>
  <c r="G215" i="28"/>
  <c r="G214" i="28"/>
  <c r="G213" i="28"/>
  <c r="G212" i="28"/>
  <c r="G211" i="28"/>
  <c r="E152" i="28"/>
  <c r="G152" i="28" s="1"/>
  <c r="E151" i="28"/>
  <c r="G151" i="28" s="1"/>
  <c r="E150" i="28"/>
  <c r="G150" i="28" s="1"/>
  <c r="G149" i="28"/>
  <c r="E144" i="28"/>
  <c r="G144" i="28" s="1"/>
  <c r="E143" i="28"/>
  <c r="G143" i="28" s="1"/>
  <c r="E142" i="28"/>
  <c r="G142" i="28" s="1"/>
  <c r="G141" i="28"/>
  <c r="E140" i="28"/>
  <c r="G140" i="28" s="1"/>
  <c r="E139" i="28"/>
  <c r="G139" i="28" s="1"/>
  <c r="E138" i="28"/>
  <c r="G138" i="28" s="1"/>
  <c r="E137" i="28"/>
  <c r="G137" i="28" s="1"/>
  <c r="E136" i="28"/>
  <c r="G136" i="28" s="1"/>
  <c r="E135" i="28"/>
  <c r="G135" i="28" s="1"/>
  <c r="E134" i="28"/>
  <c r="G134" i="28" s="1"/>
  <c r="E133" i="28"/>
  <c r="G133" i="28" s="1"/>
  <c r="E132" i="28"/>
  <c r="G132" i="28" s="1"/>
  <c r="E131" i="28"/>
  <c r="G131" i="28" s="1"/>
  <c r="E130" i="28"/>
  <c r="G130" i="28" s="1"/>
  <c r="E129" i="28"/>
  <c r="G129" i="28" s="1"/>
  <c r="E128" i="28"/>
  <c r="G128" i="28" s="1"/>
  <c r="E127" i="28"/>
  <c r="G127" i="28" s="1"/>
  <c r="E126" i="28"/>
  <c r="G126" i="28" s="1"/>
  <c r="G125" i="28"/>
  <c r="S505" i="29" l="1"/>
  <c r="S504" i="29"/>
  <c r="S503" i="29"/>
  <c r="S502" i="29"/>
  <c r="S501" i="29"/>
  <c r="S500" i="29"/>
  <c r="S499" i="29"/>
  <c r="S498" i="29"/>
  <c r="S497" i="29"/>
  <c r="S496" i="29"/>
  <c r="S495" i="29"/>
  <c r="S494" i="29"/>
  <c r="S493" i="29"/>
  <c r="S492" i="29"/>
  <c r="S491" i="29"/>
  <c r="S490" i="29"/>
  <c r="S489" i="29"/>
  <c r="S488" i="29"/>
  <c r="S487" i="29"/>
  <c r="S486" i="29"/>
  <c r="S485" i="29"/>
  <c r="S484" i="29"/>
  <c r="S483" i="29"/>
  <c r="S482" i="29"/>
  <c r="S481" i="29"/>
  <c r="S480" i="29"/>
  <c r="E432" i="29"/>
  <c r="E431" i="29"/>
  <c r="E430" i="29"/>
  <c r="D430" i="29"/>
  <c r="E421" i="29"/>
  <c r="D421" i="29"/>
  <c r="R406" i="29"/>
  <c r="P404" i="29"/>
  <c r="P408" i="29" s="1"/>
  <c r="G393" i="29"/>
  <c r="G386" i="29"/>
  <c r="G385" i="29"/>
  <c r="G384" i="29"/>
  <c r="G383" i="29"/>
  <c r="G382" i="29"/>
  <c r="G381" i="29"/>
  <c r="G380" i="29"/>
  <c r="G379" i="29"/>
  <c r="G378" i="29"/>
  <c r="G377" i="29"/>
  <c r="G376" i="29"/>
  <c r="G375" i="29"/>
  <c r="G374" i="29"/>
  <c r="G373" i="29"/>
  <c r="G372" i="29"/>
  <c r="G371" i="29"/>
  <c r="G369" i="29"/>
  <c r="G368" i="29"/>
  <c r="G367" i="29"/>
  <c r="G366" i="29"/>
  <c r="G365" i="29"/>
  <c r="G364" i="29"/>
  <c r="G363" i="29"/>
  <c r="G362" i="29"/>
  <c r="G361" i="29"/>
  <c r="G360" i="29"/>
  <c r="G359" i="29"/>
  <c r="G358" i="29"/>
  <c r="G357" i="29"/>
  <c r="G356" i="29"/>
  <c r="G355" i="29"/>
  <c r="G354" i="29"/>
  <c r="G353" i="29"/>
  <c r="G352" i="29"/>
  <c r="E350" i="29"/>
  <c r="G350" i="29" s="1"/>
  <c r="E349" i="29"/>
  <c r="G349" i="29" s="1"/>
  <c r="G348" i="29"/>
  <c r="G347" i="29"/>
  <c r="G346" i="29"/>
  <c r="G345" i="29"/>
  <c r="G343" i="29"/>
  <c r="E342" i="29"/>
  <c r="G342" i="29" s="1"/>
  <c r="E341" i="29"/>
  <c r="G341" i="29" s="1"/>
  <c r="E340" i="29"/>
  <c r="G340" i="29" s="1"/>
  <c r="E339" i="29"/>
  <c r="G339" i="29" s="1"/>
  <c r="E338" i="29"/>
  <c r="G338" i="29" s="1"/>
  <c r="E337" i="29"/>
  <c r="G337" i="29" s="1"/>
  <c r="G335" i="29"/>
  <c r="E334" i="29"/>
  <c r="G334" i="29" s="1"/>
  <c r="E333" i="29"/>
  <c r="G333" i="29" s="1"/>
  <c r="E332" i="29"/>
  <c r="G332" i="29" s="1"/>
  <c r="E331" i="29"/>
  <c r="G331" i="29" s="1"/>
  <c r="E330" i="29"/>
  <c r="G330" i="29" s="1"/>
  <c r="G329" i="29"/>
  <c r="E328" i="29"/>
  <c r="G328" i="29" s="1"/>
  <c r="E327" i="29"/>
  <c r="G327" i="29" s="1"/>
  <c r="G326" i="29"/>
  <c r="E325" i="29"/>
  <c r="G325" i="29" s="1"/>
  <c r="E324" i="29"/>
  <c r="G324" i="29" s="1"/>
  <c r="E323" i="29"/>
  <c r="G323" i="29" s="1"/>
  <c r="E322" i="29"/>
  <c r="G322" i="29" s="1"/>
  <c r="E321" i="29"/>
  <c r="G321" i="29" s="1"/>
  <c r="E320" i="29"/>
  <c r="G320" i="29" s="1"/>
  <c r="E319" i="29"/>
  <c r="G319" i="29" s="1"/>
  <c r="E317" i="29"/>
  <c r="G317" i="29" s="1"/>
  <c r="E316" i="29"/>
  <c r="G316" i="29" s="1"/>
  <c r="E315" i="29"/>
  <c r="G315" i="29" s="1"/>
  <c r="E314" i="29"/>
  <c r="G314" i="29" s="1"/>
  <c r="E312" i="29"/>
  <c r="G312" i="29" s="1"/>
  <c r="E311" i="29"/>
  <c r="G311" i="29" s="1"/>
  <c r="E310" i="29"/>
  <c r="G310" i="29" s="1"/>
  <c r="E309" i="29"/>
  <c r="G309" i="29" s="1"/>
  <c r="E308" i="29"/>
  <c r="G308" i="29" s="1"/>
  <c r="E306" i="29"/>
  <c r="G306" i="29" s="1"/>
  <c r="E305" i="29"/>
  <c r="G305" i="29" s="1"/>
  <c r="E304" i="29"/>
  <c r="G304" i="29" s="1"/>
  <c r="E303" i="29"/>
  <c r="G303" i="29" s="1"/>
  <c r="G302" i="29"/>
  <c r="G301" i="29"/>
  <c r="G300" i="29"/>
  <c r="E298" i="29"/>
  <c r="G298" i="29" s="1"/>
  <c r="E297" i="29"/>
  <c r="G297" i="29" s="1"/>
  <c r="E296" i="29"/>
  <c r="G296" i="29" s="1"/>
  <c r="G295" i="29"/>
  <c r="E295" i="29"/>
  <c r="E294" i="29"/>
  <c r="G294" i="29" s="1"/>
  <c r="E293" i="29"/>
  <c r="G293" i="29" s="1"/>
  <c r="E292" i="29"/>
  <c r="G292" i="29" s="1"/>
  <c r="G291" i="29"/>
  <c r="E291" i="29"/>
  <c r="E290" i="29"/>
  <c r="G290" i="29" s="1"/>
  <c r="E289" i="29"/>
  <c r="G289" i="29" s="1"/>
  <c r="E288" i="29"/>
  <c r="G288" i="29" s="1"/>
  <c r="E287" i="29"/>
  <c r="G287" i="29" s="1"/>
  <c r="E286" i="29"/>
  <c r="G286" i="29" s="1"/>
  <c r="E285" i="29"/>
  <c r="G285" i="29" s="1"/>
  <c r="E284" i="29"/>
  <c r="G284" i="29" s="1"/>
  <c r="E283" i="29"/>
  <c r="G283" i="29" s="1"/>
  <c r="E282" i="29"/>
  <c r="G282" i="29" s="1"/>
  <c r="E281" i="29"/>
  <c r="G281" i="29" s="1"/>
  <c r="E280" i="29"/>
  <c r="G280" i="29" s="1"/>
  <c r="E278" i="29"/>
  <c r="G278" i="29" s="1"/>
  <c r="E277" i="29"/>
  <c r="G277" i="29" s="1"/>
  <c r="E276" i="29"/>
  <c r="G276" i="29" s="1"/>
  <c r="G275" i="29"/>
  <c r="G274" i="29"/>
  <c r="G273" i="29"/>
  <c r="G272" i="29"/>
  <c r="E270" i="29"/>
  <c r="G270" i="29" s="1"/>
  <c r="E269" i="29"/>
  <c r="G269" i="29" s="1"/>
  <c r="E268" i="29"/>
  <c r="G268" i="29" s="1"/>
  <c r="E267" i="29"/>
  <c r="G267" i="29" s="1"/>
  <c r="E266" i="29"/>
  <c r="G266" i="29" s="1"/>
  <c r="G265" i="29"/>
  <c r="E265" i="29"/>
  <c r="E264" i="29"/>
  <c r="G264" i="29" s="1"/>
  <c r="E263" i="29"/>
  <c r="G263" i="29" s="1"/>
  <c r="E262" i="29"/>
  <c r="G262" i="29" s="1"/>
  <c r="E261" i="29"/>
  <c r="G261" i="29" s="1"/>
  <c r="E260" i="29"/>
  <c r="G260" i="29" s="1"/>
  <c r="G259" i="29"/>
  <c r="E259" i="29"/>
  <c r="E258" i="29"/>
  <c r="G258" i="29" s="1"/>
  <c r="E257" i="29"/>
  <c r="G257" i="29" s="1"/>
  <c r="E256" i="29"/>
  <c r="G256" i="29" s="1"/>
  <c r="E255" i="29"/>
  <c r="G255" i="29" s="1"/>
  <c r="E254" i="29"/>
  <c r="G254" i="29" s="1"/>
  <c r="G253" i="29"/>
  <c r="E253" i="29"/>
  <c r="G252" i="29"/>
  <c r="G251" i="29"/>
  <c r="G250" i="29"/>
  <c r="E248" i="29"/>
  <c r="G248" i="29" s="1"/>
  <c r="E247" i="29"/>
  <c r="G247" i="29" s="1"/>
  <c r="E246" i="29"/>
  <c r="G246" i="29" s="1"/>
  <c r="G245" i="29"/>
  <c r="E245" i="29"/>
  <c r="E244" i="29"/>
  <c r="G244" i="29" s="1"/>
  <c r="E243" i="29"/>
  <c r="G243" i="29" s="1"/>
  <c r="E242" i="29"/>
  <c r="G242" i="29" s="1"/>
  <c r="G241" i="29"/>
  <c r="E241" i="29"/>
  <c r="E240" i="29"/>
  <c r="G240" i="29" s="1"/>
  <c r="E239" i="29"/>
  <c r="G239" i="29" s="1"/>
  <c r="E238" i="29"/>
  <c r="G238" i="29" s="1"/>
  <c r="E237" i="29"/>
  <c r="G237" i="29" s="1"/>
  <c r="E236" i="29"/>
  <c r="G236" i="29" s="1"/>
  <c r="E235" i="29"/>
  <c r="G235" i="29" s="1"/>
  <c r="E234" i="29"/>
  <c r="G234" i="29" s="1"/>
  <c r="G233" i="29"/>
  <c r="E233" i="29"/>
  <c r="E232" i="29"/>
  <c r="G232" i="29" s="1"/>
  <c r="E231" i="29"/>
  <c r="G231" i="29" s="1"/>
  <c r="G230" i="29"/>
  <c r="E230" i="29"/>
  <c r="E229" i="29"/>
  <c r="G229" i="29" s="1"/>
  <c r="E228" i="29"/>
  <c r="G228" i="29" s="1"/>
  <c r="E227" i="29"/>
  <c r="G227" i="29" s="1"/>
  <c r="G226" i="29"/>
  <c r="E226" i="29"/>
  <c r="E225" i="29"/>
  <c r="G225" i="29" s="1"/>
  <c r="E224" i="29"/>
  <c r="G224" i="29" s="1"/>
  <c r="G223" i="29"/>
  <c r="E223" i="29"/>
  <c r="E222" i="29"/>
  <c r="G222" i="29" s="1"/>
  <c r="E221" i="29"/>
  <c r="G221" i="29" s="1"/>
  <c r="E220" i="29"/>
  <c r="G220" i="29" s="1"/>
  <c r="G219" i="29"/>
  <c r="E219" i="29"/>
  <c r="E218" i="29"/>
  <c r="G218" i="29" s="1"/>
  <c r="E217" i="29"/>
  <c r="G217" i="29" s="1"/>
  <c r="E216" i="29"/>
  <c r="G216" i="29" s="1"/>
  <c r="G215" i="29"/>
  <c r="E215" i="29"/>
  <c r="E214" i="29"/>
  <c r="G214" i="29" s="1"/>
  <c r="E213" i="29"/>
  <c r="G213" i="29" s="1"/>
  <c r="E212" i="29"/>
  <c r="G212" i="29" s="1"/>
  <c r="G211" i="29"/>
  <c r="E211" i="29"/>
  <c r="G202" i="29"/>
  <c r="G201" i="29"/>
  <c r="G200" i="29"/>
  <c r="E198" i="29"/>
  <c r="G198" i="29" s="1"/>
  <c r="E197" i="29"/>
  <c r="G197" i="29" s="1"/>
  <c r="E196" i="29"/>
  <c r="G196" i="29" s="1"/>
  <c r="G195" i="29"/>
  <c r="E195" i="29"/>
  <c r="G194" i="29"/>
  <c r="G193" i="29"/>
  <c r="G192" i="29"/>
  <c r="G191" i="29"/>
  <c r="G190" i="29"/>
  <c r="G189" i="29"/>
  <c r="G188" i="29"/>
  <c r="G187" i="29"/>
  <c r="G186" i="29"/>
  <c r="G185" i="29"/>
  <c r="G184" i="29"/>
  <c r="G183" i="29"/>
  <c r="G182" i="29"/>
  <c r="G181" i="29"/>
  <c r="G180" i="29"/>
  <c r="G179" i="29"/>
  <c r="G178" i="29"/>
  <c r="G176" i="29"/>
  <c r="G175" i="29"/>
  <c r="G174" i="29"/>
  <c r="G173" i="29"/>
  <c r="G172" i="29"/>
  <c r="G171" i="29"/>
  <c r="G170" i="29"/>
  <c r="G169" i="29"/>
  <c r="G168" i="29"/>
  <c r="G167" i="29"/>
  <c r="G166" i="29"/>
  <c r="G165" i="29"/>
  <c r="G164" i="29"/>
  <c r="G163" i="29"/>
  <c r="G162" i="29"/>
  <c r="G161" i="29"/>
  <c r="G160" i="29"/>
  <c r="G159" i="29"/>
  <c r="G157" i="29"/>
  <c r="G156" i="29"/>
  <c r="G155" i="29"/>
  <c r="G154" i="29"/>
  <c r="G153" i="29"/>
  <c r="G152" i="29"/>
  <c r="G151" i="29"/>
  <c r="G150" i="29"/>
  <c r="G149" i="29"/>
  <c r="G148" i="29"/>
  <c r="G147" i="29"/>
  <c r="G146" i="29"/>
  <c r="G145" i="29"/>
  <c r="G144" i="29"/>
  <c r="G143" i="29"/>
  <c r="G142" i="29"/>
  <c r="G141" i="29"/>
  <c r="G140" i="29"/>
  <c r="G139" i="29"/>
  <c r="E137" i="29"/>
  <c r="G137" i="29" s="1"/>
  <c r="E136" i="29"/>
  <c r="G136" i="29" s="1"/>
  <c r="E135" i="29"/>
  <c r="G135" i="29" s="1"/>
  <c r="E134" i="29"/>
  <c r="G134" i="29" s="1"/>
  <c r="E133" i="29"/>
  <c r="G133" i="29" s="1"/>
  <c r="E132" i="29"/>
  <c r="G132" i="29" s="1"/>
  <c r="E131" i="29"/>
  <c r="G131" i="29" s="1"/>
  <c r="E130" i="29"/>
  <c r="G130" i="29" s="1"/>
  <c r="E129" i="29"/>
  <c r="G129" i="29" s="1"/>
  <c r="E128" i="29"/>
  <c r="G128" i="29" s="1"/>
  <c r="E127" i="29"/>
  <c r="G127" i="29" s="1"/>
  <c r="E126" i="29"/>
  <c r="G126" i="29" s="1"/>
  <c r="E125" i="29"/>
  <c r="G125" i="29" s="1"/>
  <c r="G124" i="29"/>
  <c r="E124" i="29"/>
  <c r="E123" i="29"/>
  <c r="G123" i="29" s="1"/>
  <c r="E122" i="29"/>
  <c r="G122" i="29" s="1"/>
  <c r="E121" i="29"/>
  <c r="G121" i="29" s="1"/>
  <c r="E120" i="29"/>
  <c r="G120" i="29" s="1"/>
  <c r="E119" i="29"/>
  <c r="G119" i="29" s="1"/>
  <c r="E118" i="29"/>
  <c r="G118" i="29" s="1"/>
  <c r="G117" i="29"/>
  <c r="E117" i="29"/>
  <c r="G116" i="29"/>
  <c r="G115" i="29"/>
  <c r="G114" i="29"/>
  <c r="G113" i="29"/>
  <c r="E112" i="29"/>
  <c r="G112" i="29" s="1"/>
  <c r="E111" i="29"/>
  <c r="G111" i="29" s="1"/>
  <c r="E110" i="29"/>
  <c r="G110" i="29" s="1"/>
  <c r="E109" i="29"/>
  <c r="G109" i="29" s="1"/>
  <c r="E108" i="29"/>
  <c r="G108" i="29" s="1"/>
  <c r="E107" i="29"/>
  <c r="G107" i="29" s="1"/>
  <c r="G106" i="29"/>
  <c r="E106" i="29"/>
  <c r="E105" i="29"/>
  <c r="G105" i="29" s="1"/>
  <c r="E104" i="29"/>
  <c r="G104" i="29" s="1"/>
  <c r="E103" i="29"/>
  <c r="G103" i="29" s="1"/>
  <c r="G102" i="29"/>
  <c r="G101" i="29"/>
  <c r="G100" i="29"/>
  <c r="G99" i="29"/>
  <c r="G98" i="29"/>
  <c r="E96" i="29"/>
  <c r="G96" i="29" s="1"/>
  <c r="E95" i="29"/>
  <c r="G95" i="29" s="1"/>
  <c r="E94" i="29"/>
  <c r="G94" i="29" s="1"/>
  <c r="E93" i="29"/>
  <c r="G93" i="29" s="1"/>
  <c r="E92" i="29"/>
  <c r="G92" i="29" s="1"/>
  <c r="G91" i="29"/>
  <c r="E91" i="29"/>
  <c r="G90" i="29"/>
  <c r="G89" i="29"/>
  <c r="G88" i="29"/>
  <c r="E86" i="29"/>
  <c r="G86" i="29" s="1"/>
  <c r="E85" i="29"/>
  <c r="G85" i="29" s="1"/>
  <c r="E84" i="29"/>
  <c r="G84" i="29" s="1"/>
  <c r="G83" i="29"/>
  <c r="E83" i="29"/>
  <c r="E82" i="29"/>
  <c r="G82" i="29" s="1"/>
  <c r="G81" i="29"/>
  <c r="G80" i="29"/>
  <c r="G79" i="29"/>
  <c r="G78" i="29"/>
  <c r="E76" i="29"/>
  <c r="G76" i="29" s="1"/>
  <c r="E75" i="29"/>
  <c r="G75" i="29" s="1"/>
  <c r="E74" i="29"/>
  <c r="G74" i="29" s="1"/>
  <c r="G73" i="29"/>
  <c r="G71" i="29"/>
  <c r="G70" i="29"/>
  <c r="G69" i="29"/>
  <c r="E68" i="29"/>
  <c r="G68" i="29" s="1"/>
  <c r="E67" i="29"/>
  <c r="G67" i="29" s="1"/>
  <c r="G66" i="29"/>
  <c r="E65" i="29"/>
  <c r="G65" i="29" s="1"/>
  <c r="E64" i="29"/>
  <c r="G64" i="29" s="1"/>
  <c r="E63" i="29"/>
  <c r="G63" i="29" s="1"/>
  <c r="E62" i="29"/>
  <c r="G62" i="29" s="1"/>
  <c r="E61" i="29"/>
  <c r="G61" i="29" s="1"/>
  <c r="E60" i="29"/>
  <c r="G60" i="29" s="1"/>
  <c r="G59" i="29"/>
  <c r="E58" i="29"/>
  <c r="G58" i="29" s="1"/>
  <c r="E57" i="29"/>
  <c r="G57" i="29" s="1"/>
  <c r="E56" i="29"/>
  <c r="G56" i="29" s="1"/>
  <c r="E55" i="29"/>
  <c r="G55" i="29" s="1"/>
  <c r="E54" i="29"/>
  <c r="G54" i="29" s="1"/>
  <c r="E53" i="29"/>
  <c r="G53" i="29" s="1"/>
  <c r="E52" i="29"/>
  <c r="G52" i="29" s="1"/>
  <c r="G51" i="29"/>
  <c r="G40" i="29"/>
  <c r="G39" i="29"/>
  <c r="G38" i="29"/>
  <c r="G37" i="29"/>
  <c r="G36" i="29"/>
  <c r="G35" i="29"/>
  <c r="G34" i="29"/>
  <c r="G33" i="29"/>
  <c r="G32" i="29"/>
  <c r="G31" i="29"/>
  <c r="G30" i="29"/>
  <c r="G29" i="29"/>
  <c r="G28" i="29"/>
  <c r="G27" i="29"/>
  <c r="G26" i="29"/>
  <c r="E24" i="29"/>
  <c r="G24" i="29" s="1"/>
  <c r="E23" i="29"/>
  <c r="G23" i="29" s="1"/>
  <c r="E22" i="29"/>
  <c r="G22" i="29" s="1"/>
  <c r="E21" i="29"/>
  <c r="G21" i="29" s="1"/>
  <c r="E20" i="29"/>
  <c r="G20" i="29" s="1"/>
  <c r="E19" i="29"/>
  <c r="G19" i="29" s="1"/>
  <c r="E18" i="29"/>
  <c r="G18" i="29" s="1"/>
  <c r="E17" i="29"/>
  <c r="G17" i="29" s="1"/>
  <c r="E16" i="29"/>
  <c r="G16" i="29" s="1"/>
  <c r="E15" i="29"/>
  <c r="G15" i="29" s="1"/>
  <c r="E14" i="29"/>
  <c r="G14" i="29" s="1"/>
  <c r="E13" i="29"/>
  <c r="G13" i="29" s="1"/>
  <c r="E12" i="29"/>
  <c r="G12" i="29" s="1"/>
  <c r="E11" i="29"/>
  <c r="G11" i="29" s="1"/>
  <c r="E10" i="29"/>
  <c r="G10" i="29" s="1"/>
  <c r="E9" i="29"/>
  <c r="G9" i="29" s="1"/>
  <c r="G8" i="29"/>
  <c r="P4" i="29"/>
  <c r="D4" i="29"/>
  <c r="R3" i="29"/>
  <c r="L3" i="29"/>
  <c r="S387" i="28"/>
  <c r="S386" i="28"/>
  <c r="S385" i="28"/>
  <c r="S384" i="28"/>
  <c r="S383" i="28"/>
  <c r="S382" i="28"/>
  <c r="S381" i="28"/>
  <c r="S380" i="28"/>
  <c r="S379" i="28"/>
  <c r="S378" i="28"/>
  <c r="S377" i="28"/>
  <c r="S376" i="28"/>
  <c r="S375" i="28"/>
  <c r="S374" i="28"/>
  <c r="S373" i="28"/>
  <c r="S372" i="28"/>
  <c r="S371" i="28"/>
  <c r="S370" i="28"/>
  <c r="S369" i="28"/>
  <c r="S368" i="28"/>
  <c r="S367" i="28"/>
  <c r="S366" i="28"/>
  <c r="S365" i="28"/>
  <c r="S364" i="28"/>
  <c r="S363" i="28"/>
  <c r="S362" i="28"/>
  <c r="E314" i="28"/>
  <c r="E313" i="28"/>
  <c r="E312" i="28"/>
  <c r="D312" i="28"/>
  <c r="E303" i="28"/>
  <c r="D303" i="28"/>
  <c r="R288" i="28"/>
  <c r="P286" i="28"/>
  <c r="P290" i="28" s="1"/>
  <c r="G274" i="28"/>
  <c r="G267" i="28"/>
  <c r="G266" i="28"/>
  <c r="G265" i="28"/>
  <c r="G264" i="28"/>
  <c r="G263" i="28"/>
  <c r="G262" i="28"/>
  <c r="G261" i="28"/>
  <c r="G260" i="28"/>
  <c r="G259" i="28"/>
  <c r="G258" i="28"/>
  <c r="G257" i="28"/>
  <c r="G256" i="28"/>
  <c r="G255" i="28"/>
  <c r="G254" i="28"/>
  <c r="G253" i="28"/>
  <c r="G252" i="28"/>
  <c r="G250" i="28"/>
  <c r="G249" i="28"/>
  <c r="G248" i="28"/>
  <c r="G247" i="28"/>
  <c r="G246" i="28"/>
  <c r="G245" i="28"/>
  <c r="G244" i="28"/>
  <c r="G243" i="28"/>
  <c r="G242" i="28"/>
  <c r="G241" i="28"/>
  <c r="G240" i="28"/>
  <c r="G239" i="28"/>
  <c r="G238" i="28"/>
  <c r="G237" i="28"/>
  <c r="G236" i="28"/>
  <c r="G235" i="28"/>
  <c r="G234" i="28"/>
  <c r="E232" i="28"/>
  <c r="G232" i="28" s="1"/>
  <c r="E231" i="28"/>
  <c r="G231" i="28" s="1"/>
  <c r="G230" i="28"/>
  <c r="G229" i="28"/>
  <c r="G228" i="28"/>
  <c r="G227" i="28"/>
  <c r="G123" i="28"/>
  <c r="G122" i="28"/>
  <c r="G121" i="28"/>
  <c r="E120" i="28"/>
  <c r="G120" i="28" s="1"/>
  <c r="E119" i="28"/>
  <c r="G119" i="28" s="1"/>
  <c r="E118" i="28"/>
  <c r="G118" i="28" s="1"/>
  <c r="E117" i="28"/>
  <c r="G117" i="28" s="1"/>
  <c r="E116" i="28"/>
  <c r="G116" i="28" s="1"/>
  <c r="E115" i="28"/>
  <c r="G115" i="28" s="1"/>
  <c r="E114" i="28"/>
  <c r="G114" i="28" s="1"/>
  <c r="E113" i="28"/>
  <c r="G113" i="28" s="1"/>
  <c r="E112" i="28"/>
  <c r="G112" i="28" s="1"/>
  <c r="E111" i="28"/>
  <c r="G111" i="28" s="1"/>
  <c r="G110" i="28"/>
  <c r="G109" i="28"/>
  <c r="G108" i="28"/>
  <c r="G107" i="28"/>
  <c r="G106" i="28"/>
  <c r="E104" i="28"/>
  <c r="G104" i="28" s="1"/>
  <c r="E103" i="28"/>
  <c r="G103" i="28" s="1"/>
  <c r="E102" i="28"/>
  <c r="G102" i="28" s="1"/>
  <c r="E101" i="28"/>
  <c r="G101" i="28" s="1"/>
  <c r="E100" i="28"/>
  <c r="G100" i="28" s="1"/>
  <c r="G99" i="28"/>
  <c r="E99" i="28"/>
  <c r="G98" i="28"/>
  <c r="G97" i="28"/>
  <c r="G96" i="28"/>
  <c r="E94" i="28"/>
  <c r="G94" i="28" s="1"/>
  <c r="E93" i="28"/>
  <c r="G93" i="28" s="1"/>
  <c r="E92" i="28"/>
  <c r="G92" i="28" s="1"/>
  <c r="G91" i="28"/>
  <c r="E91" i="28"/>
  <c r="E90" i="28"/>
  <c r="G90" i="28" s="1"/>
  <c r="G89" i="28"/>
  <c r="G88" i="28"/>
  <c r="G87" i="28"/>
  <c r="G86" i="28"/>
  <c r="E84" i="28"/>
  <c r="G84" i="28" s="1"/>
  <c r="E83" i="28"/>
  <c r="G83" i="28" s="1"/>
  <c r="E82" i="28"/>
  <c r="G82" i="28" s="1"/>
  <c r="G81" i="28"/>
  <c r="G79" i="28"/>
  <c r="G77" i="28"/>
  <c r="E76" i="28"/>
  <c r="G76" i="28" s="1"/>
  <c r="E75" i="28"/>
  <c r="G75" i="28" s="1"/>
  <c r="G74" i="28"/>
  <c r="E73" i="28"/>
  <c r="G73" i="28" s="1"/>
  <c r="E72" i="28"/>
  <c r="G72" i="28" s="1"/>
  <c r="E71" i="28"/>
  <c r="G71" i="28" s="1"/>
  <c r="E70" i="28"/>
  <c r="G70" i="28" s="1"/>
  <c r="E69" i="28"/>
  <c r="G69" i="28" s="1"/>
  <c r="E68" i="28"/>
  <c r="G68" i="28" s="1"/>
  <c r="G67" i="28"/>
  <c r="E58" i="28"/>
  <c r="G58" i="28" s="1"/>
  <c r="E57" i="28"/>
  <c r="G57" i="28" s="1"/>
  <c r="E56" i="28"/>
  <c r="G56" i="28" s="1"/>
  <c r="E55" i="28"/>
  <c r="G55" i="28" s="1"/>
  <c r="E54" i="28"/>
  <c r="G54" i="28" s="1"/>
  <c r="E53" i="28"/>
  <c r="G53" i="28" s="1"/>
  <c r="E52" i="28"/>
  <c r="G52" i="28" s="1"/>
  <c r="G5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E24" i="28"/>
  <c r="G24" i="28" s="1"/>
  <c r="E23" i="28"/>
  <c r="G23" i="28" s="1"/>
  <c r="E22" i="28"/>
  <c r="G22" i="28" s="1"/>
  <c r="E21" i="28"/>
  <c r="G21" i="28" s="1"/>
  <c r="E20" i="28"/>
  <c r="G20" i="28" s="1"/>
  <c r="E19" i="28"/>
  <c r="G19" i="28" s="1"/>
  <c r="E18" i="28"/>
  <c r="G18" i="28" s="1"/>
  <c r="E17" i="28"/>
  <c r="G17" i="28" s="1"/>
  <c r="E16" i="28"/>
  <c r="G16" i="28" s="1"/>
  <c r="E15" i="28"/>
  <c r="G15" i="28" s="1"/>
  <c r="E14" i="28"/>
  <c r="G14" i="28" s="1"/>
  <c r="E13" i="28"/>
  <c r="G13" i="28" s="1"/>
  <c r="E12" i="28"/>
  <c r="G12" i="28" s="1"/>
  <c r="E11" i="28"/>
  <c r="G11" i="28" s="1"/>
  <c r="E10" i="28"/>
  <c r="G10" i="28" s="1"/>
  <c r="E9" i="28"/>
  <c r="G9" i="28" s="1"/>
  <c r="G8" i="28"/>
  <c r="P4" i="28"/>
  <c r="D4" i="28"/>
  <c r="R3" i="28"/>
  <c r="L3" i="28"/>
  <c r="G60" i="27"/>
  <c r="S404" i="29" l="1"/>
  <c r="T404" i="29"/>
  <c r="T406" i="29" s="1"/>
  <c r="G408" i="29"/>
  <c r="G406" i="29"/>
  <c r="P406" i="29"/>
  <c r="G288" i="28"/>
  <c r="G290" i="28"/>
  <c r="S286" i="28"/>
  <c r="T286" i="28"/>
  <c r="T288" i="28" s="1"/>
  <c r="P288" i="28"/>
  <c r="E318" i="27"/>
  <c r="G396" i="27"/>
  <c r="E347" i="27" l="1"/>
  <c r="E340" i="27"/>
  <c r="G246" i="27"/>
  <c r="G245" i="27"/>
  <c r="G244" i="27"/>
  <c r="E247" i="27"/>
  <c r="G247" i="27"/>
  <c r="E248" i="27"/>
  <c r="G248" i="27" s="1"/>
  <c r="E249" i="27"/>
  <c r="G249" i="27" s="1"/>
  <c r="E250" i="27"/>
  <c r="G250" i="27" s="1"/>
  <c r="G308" i="27"/>
  <c r="G307" i="27"/>
  <c r="G306" i="27"/>
  <c r="G356" i="27"/>
  <c r="G355" i="27"/>
  <c r="G92" i="27"/>
  <c r="G91" i="27"/>
  <c r="G90" i="27"/>
  <c r="G89" i="27"/>
  <c r="G88" i="27"/>
  <c r="G80" i="27"/>
  <c r="G79" i="27"/>
  <c r="G78" i="27"/>
  <c r="G104" i="27"/>
  <c r="G70" i="27"/>
  <c r="G69" i="27"/>
  <c r="G68" i="27"/>
  <c r="G279" i="27"/>
  <c r="G278" i="27"/>
  <c r="G277" i="27"/>
  <c r="G276" i="27"/>
  <c r="G334" i="27"/>
  <c r="E336" i="27"/>
  <c r="G336" i="27" s="1"/>
  <c r="G331" i="27"/>
  <c r="E329" i="27"/>
  <c r="G329" i="27" s="1"/>
  <c r="G192" i="27"/>
  <c r="G191" i="27"/>
  <c r="G190" i="27"/>
  <c r="E193" i="27"/>
  <c r="G193" i="27"/>
  <c r="E194" i="27"/>
  <c r="G194" i="27" s="1"/>
  <c r="E195" i="27"/>
  <c r="G195" i="27" s="1"/>
  <c r="E196" i="27"/>
  <c r="G196" i="27"/>
  <c r="G380" i="27"/>
  <c r="G386" i="27"/>
  <c r="G387" i="27"/>
  <c r="G40" i="27"/>
  <c r="G39" i="27"/>
  <c r="G38" i="27"/>
  <c r="G37" i="27"/>
  <c r="G36" i="27"/>
  <c r="G35" i="27"/>
  <c r="G34" i="27"/>
  <c r="G33" i="27"/>
  <c r="G32" i="27"/>
  <c r="G31" i="27"/>
  <c r="G30" i="27"/>
  <c r="G29" i="27"/>
  <c r="G28" i="27"/>
  <c r="G27" i="27"/>
  <c r="G26" i="27"/>
  <c r="G184" i="27"/>
  <c r="G183" i="27"/>
  <c r="G182" i="27"/>
  <c r="G181" i="27"/>
  <c r="G180" i="27"/>
  <c r="G179" i="27"/>
  <c r="G178" i="27"/>
  <c r="G177" i="27"/>
  <c r="G176" i="27"/>
  <c r="G175" i="27"/>
  <c r="G174" i="27"/>
  <c r="G173" i="27"/>
  <c r="G172" i="27"/>
  <c r="G171" i="27"/>
  <c r="G170" i="27"/>
  <c r="G169" i="27"/>
  <c r="G168" i="27"/>
  <c r="G166" i="27"/>
  <c r="G165" i="27"/>
  <c r="G164" i="27"/>
  <c r="G163" i="27"/>
  <c r="G162" i="27"/>
  <c r="G161" i="27"/>
  <c r="G160" i="27"/>
  <c r="G159" i="27"/>
  <c r="G158" i="27"/>
  <c r="G157" i="27"/>
  <c r="G156" i="27"/>
  <c r="G155" i="27"/>
  <c r="G154" i="27"/>
  <c r="G153" i="27"/>
  <c r="G152" i="27"/>
  <c r="G151" i="27"/>
  <c r="G150" i="27"/>
  <c r="G149" i="27"/>
  <c r="E127" i="27"/>
  <c r="G127" i="27" s="1"/>
  <c r="G147" i="27"/>
  <c r="G146" i="27"/>
  <c r="G145" i="27"/>
  <c r="G144" i="27"/>
  <c r="G143" i="27"/>
  <c r="G142" i="27"/>
  <c r="G141" i="27"/>
  <c r="G140" i="27"/>
  <c r="G139" i="27"/>
  <c r="G138" i="27"/>
  <c r="G137" i="27"/>
  <c r="G136" i="27"/>
  <c r="G135" i="27"/>
  <c r="G134" i="27"/>
  <c r="G133" i="27"/>
  <c r="G132" i="27"/>
  <c r="G131" i="27"/>
  <c r="G130" i="27"/>
  <c r="G129" i="27"/>
  <c r="G389" i="27" l="1"/>
  <c r="G388" i="27"/>
  <c r="G385" i="27"/>
  <c r="G384" i="27"/>
  <c r="G383" i="27"/>
  <c r="G382" i="27"/>
  <c r="G381" i="27"/>
  <c r="G379" i="27"/>
  <c r="G378" i="27"/>
  <c r="G377" i="27"/>
  <c r="G376" i="27"/>
  <c r="G375" i="27"/>
  <c r="G372" i="27"/>
  <c r="G371" i="27"/>
  <c r="G370" i="27"/>
  <c r="G369" i="27"/>
  <c r="G368" i="27"/>
  <c r="G367" i="27"/>
  <c r="G366" i="27"/>
  <c r="G365" i="27"/>
  <c r="G364" i="27"/>
  <c r="G363" i="27"/>
  <c r="G362" i="27"/>
  <c r="G361" i="27"/>
  <c r="G360" i="27"/>
  <c r="G359" i="27"/>
  <c r="G358" i="27"/>
  <c r="G357" i="27"/>
  <c r="E353" i="27"/>
  <c r="G353" i="27" s="1"/>
  <c r="E352" i="27"/>
  <c r="G352" i="27" s="1"/>
  <c r="G351" i="27"/>
  <c r="G350" i="27"/>
  <c r="G349" i="27"/>
  <c r="G348" i="27"/>
  <c r="G347" i="27"/>
  <c r="E346" i="27"/>
  <c r="G346" i="27" s="1"/>
  <c r="E345" i="27"/>
  <c r="G345" i="27" s="1"/>
  <c r="E344" i="27"/>
  <c r="G344" i="27" s="1"/>
  <c r="E343" i="27"/>
  <c r="G343" i="27" s="1"/>
  <c r="E342" i="27"/>
  <c r="G342" i="27" s="1"/>
  <c r="E341" i="27"/>
  <c r="G341" i="27" s="1"/>
  <c r="G340" i="27"/>
  <c r="E339" i="27"/>
  <c r="G339" i="27" s="1"/>
  <c r="E338" i="27"/>
  <c r="G338" i="27" s="1"/>
  <c r="E337" i="27"/>
  <c r="G337" i="27" s="1"/>
  <c r="E335" i="27"/>
  <c r="G335" i="27" s="1"/>
  <c r="E333" i="27"/>
  <c r="G333" i="27" s="1"/>
  <c r="E332" i="27"/>
  <c r="G332" i="27" s="1"/>
  <c r="E330" i="27"/>
  <c r="G330" i="27" s="1"/>
  <c r="E328" i="27"/>
  <c r="G328" i="27" s="1"/>
  <c r="E327" i="27"/>
  <c r="G327" i="27" s="1"/>
  <c r="E326" i="27"/>
  <c r="G326" i="27" s="1"/>
  <c r="E325" i="27"/>
  <c r="G325" i="27" s="1"/>
  <c r="G322" i="27"/>
  <c r="E321" i="27"/>
  <c r="G321" i="27" s="1"/>
  <c r="E320" i="27"/>
  <c r="G320" i="27" s="1"/>
  <c r="E319" i="27"/>
  <c r="G319" i="27" s="1"/>
  <c r="G318" i="27"/>
  <c r="E317" i="27"/>
  <c r="G317" i="27" s="1"/>
  <c r="E316" i="27"/>
  <c r="G316" i="27" s="1"/>
  <c r="E315" i="27"/>
  <c r="G315" i="27" s="1"/>
  <c r="E312" i="27"/>
  <c r="G312" i="27" s="1"/>
  <c r="E311" i="27"/>
  <c r="G311" i="27" s="1"/>
  <c r="E310" i="27"/>
  <c r="G310" i="27" s="1"/>
  <c r="E309" i="27"/>
  <c r="G309" i="27" s="1"/>
  <c r="E304" i="27"/>
  <c r="G304" i="27" s="1"/>
  <c r="E303" i="27"/>
  <c r="G303" i="27" s="1"/>
  <c r="E302" i="27"/>
  <c r="G302" i="27" s="1"/>
  <c r="G301" i="27"/>
  <c r="E301" i="27"/>
  <c r="E300" i="27"/>
  <c r="G300" i="27" s="1"/>
  <c r="E299" i="27"/>
  <c r="G299" i="27" s="1"/>
  <c r="E298" i="27"/>
  <c r="G298" i="27" s="1"/>
  <c r="E297" i="27"/>
  <c r="G297" i="27" s="1"/>
  <c r="G296" i="27"/>
  <c r="E296" i="27"/>
  <c r="E295" i="27"/>
  <c r="G295" i="27" s="1"/>
  <c r="E294" i="27"/>
  <c r="G294" i="27" s="1"/>
  <c r="E293" i="27"/>
  <c r="G293" i="27" s="1"/>
  <c r="E292" i="27"/>
  <c r="G292" i="27" s="1"/>
  <c r="E291" i="27"/>
  <c r="G291" i="27" s="1"/>
  <c r="E290" i="27"/>
  <c r="G290" i="27" s="1"/>
  <c r="E289" i="27"/>
  <c r="G289" i="27" s="1"/>
  <c r="E288" i="27"/>
  <c r="G288" i="27" s="1"/>
  <c r="E287" i="27"/>
  <c r="G287" i="27" s="1"/>
  <c r="E286" i="27"/>
  <c r="G286" i="27" s="1"/>
  <c r="E285" i="27"/>
  <c r="G285" i="27" s="1"/>
  <c r="E284" i="27"/>
  <c r="G284" i="27" s="1"/>
  <c r="E282" i="27"/>
  <c r="G282" i="27" s="1"/>
  <c r="E281" i="27"/>
  <c r="G281" i="27" s="1"/>
  <c r="E280" i="27"/>
  <c r="G280" i="27" s="1"/>
  <c r="E274" i="27"/>
  <c r="G274" i="27" s="1"/>
  <c r="E273" i="27"/>
  <c r="G273" i="27" s="1"/>
  <c r="E272" i="27"/>
  <c r="G272" i="27" s="1"/>
  <c r="E271" i="27"/>
  <c r="G271" i="27" s="1"/>
  <c r="E270" i="27"/>
  <c r="G270" i="27" s="1"/>
  <c r="G269" i="27"/>
  <c r="E269" i="27"/>
  <c r="E268" i="27"/>
  <c r="G268" i="27" s="1"/>
  <c r="E267" i="27"/>
  <c r="G267" i="27" s="1"/>
  <c r="E266" i="27"/>
  <c r="G266" i="27" s="1"/>
  <c r="E265" i="27"/>
  <c r="G265" i="27" s="1"/>
  <c r="E264" i="27"/>
  <c r="G264" i="27" s="1"/>
  <c r="G263" i="27"/>
  <c r="E263" i="27"/>
  <c r="E262" i="27"/>
  <c r="G262" i="27" s="1"/>
  <c r="E261" i="27"/>
  <c r="G261" i="27" s="1"/>
  <c r="E260" i="27"/>
  <c r="G260" i="27" s="1"/>
  <c r="E259" i="27"/>
  <c r="G259" i="27" s="1"/>
  <c r="E258" i="27"/>
  <c r="G258" i="27" s="1"/>
  <c r="G257" i="27"/>
  <c r="E257" i="27"/>
  <c r="E256" i="27"/>
  <c r="G256" i="27" s="1"/>
  <c r="E255" i="27"/>
  <c r="G255" i="27" s="1"/>
  <c r="E254" i="27"/>
  <c r="G254" i="27" s="1"/>
  <c r="E253" i="27"/>
  <c r="G253" i="27" s="1"/>
  <c r="G252" i="27"/>
  <c r="E252" i="27"/>
  <c r="E251" i="27"/>
  <c r="G251" i="27" s="1"/>
  <c r="E242" i="27"/>
  <c r="G242" i="27" s="1"/>
  <c r="E241" i="27"/>
  <c r="G241" i="27" s="1"/>
  <c r="E240" i="27"/>
  <c r="G240" i="27" s="1"/>
  <c r="G239" i="27"/>
  <c r="E239" i="27"/>
  <c r="E238" i="27"/>
  <c r="G238" i="27" s="1"/>
  <c r="E237" i="27"/>
  <c r="G237" i="27" s="1"/>
  <c r="E236" i="27"/>
  <c r="G236" i="27" s="1"/>
  <c r="G235" i="27"/>
  <c r="E235" i="27"/>
  <c r="E234" i="27"/>
  <c r="G234" i="27" s="1"/>
  <c r="E233" i="27"/>
  <c r="G233" i="27" s="1"/>
  <c r="E232" i="27"/>
  <c r="G232" i="27" s="1"/>
  <c r="E231" i="27"/>
  <c r="G231" i="27" s="1"/>
  <c r="E230" i="27"/>
  <c r="G230" i="27" s="1"/>
  <c r="E229" i="27"/>
  <c r="G229" i="27" s="1"/>
  <c r="E228" i="27"/>
  <c r="G228" i="27" s="1"/>
  <c r="G227" i="27"/>
  <c r="E227" i="27"/>
  <c r="E226" i="27"/>
  <c r="G226" i="27" s="1"/>
  <c r="E225" i="27"/>
  <c r="G225" i="27" s="1"/>
  <c r="E224" i="27"/>
  <c r="G224" i="27" s="1"/>
  <c r="G223" i="27"/>
  <c r="E223" i="27"/>
  <c r="E222" i="27"/>
  <c r="G222" i="27" s="1"/>
  <c r="E221" i="27"/>
  <c r="G221" i="27" s="1"/>
  <c r="E220" i="27"/>
  <c r="G220" i="27" s="1"/>
  <c r="G219" i="27"/>
  <c r="E219" i="27"/>
  <c r="E218" i="27"/>
  <c r="G218" i="27" s="1"/>
  <c r="E217" i="27"/>
  <c r="G217" i="27" s="1"/>
  <c r="G216" i="27"/>
  <c r="E216" i="27"/>
  <c r="E215" i="27"/>
  <c r="G215" i="27" s="1"/>
  <c r="E214" i="27"/>
  <c r="G214" i="27" s="1"/>
  <c r="E213" i="27"/>
  <c r="G213" i="27" s="1"/>
  <c r="G212" i="27"/>
  <c r="E212" i="27"/>
  <c r="E211" i="27"/>
  <c r="G211" i="27" s="1"/>
  <c r="E210" i="27"/>
  <c r="G210" i="27" s="1"/>
  <c r="G209" i="27"/>
  <c r="E209" i="27"/>
  <c r="E208" i="27"/>
  <c r="G208" i="27" s="1"/>
  <c r="E207" i="27"/>
  <c r="G207" i="27" s="1"/>
  <c r="E206" i="27"/>
  <c r="G206" i="27" s="1"/>
  <c r="G205" i="27"/>
  <c r="E205" i="27"/>
  <c r="E204" i="27"/>
  <c r="G204" i="27" s="1"/>
  <c r="E203" i="27"/>
  <c r="G203" i="27" s="1"/>
  <c r="E202" i="27"/>
  <c r="G202" i="27" s="1"/>
  <c r="G201" i="27"/>
  <c r="E201" i="27"/>
  <c r="E200" i="27"/>
  <c r="G200" i="27" s="1"/>
  <c r="E199" i="27"/>
  <c r="G199" i="27" s="1"/>
  <c r="E198" i="27"/>
  <c r="G198" i="27" s="1"/>
  <c r="G197" i="27"/>
  <c r="E197" i="27"/>
  <c r="E188" i="27"/>
  <c r="G188" i="27" s="1"/>
  <c r="E187" i="27"/>
  <c r="G187" i="27" s="1"/>
  <c r="E186" i="27"/>
  <c r="G186" i="27" s="1"/>
  <c r="G185" i="27"/>
  <c r="E185" i="27"/>
  <c r="E126" i="27"/>
  <c r="G126" i="27" s="1"/>
  <c r="E125" i="27"/>
  <c r="G125" i="27" s="1"/>
  <c r="E124" i="27"/>
  <c r="G124" i="27" s="1"/>
  <c r="E123" i="27"/>
  <c r="G123" i="27" s="1"/>
  <c r="E122" i="27"/>
  <c r="G122" i="27" s="1"/>
  <c r="E121" i="27"/>
  <c r="G121" i="27" s="1"/>
  <c r="E120" i="27"/>
  <c r="G120" i="27" s="1"/>
  <c r="E119" i="27"/>
  <c r="G119" i="27" s="1"/>
  <c r="E118" i="27"/>
  <c r="G118" i="27" s="1"/>
  <c r="E117" i="27"/>
  <c r="G117" i="27" s="1"/>
  <c r="E116" i="27"/>
  <c r="G116" i="27" s="1"/>
  <c r="E115" i="27"/>
  <c r="G115" i="27" s="1"/>
  <c r="E114" i="27"/>
  <c r="G114" i="27" s="1"/>
  <c r="E113" i="27"/>
  <c r="G113" i="27" s="1"/>
  <c r="E112" i="27"/>
  <c r="G112" i="27" s="1"/>
  <c r="E111" i="27"/>
  <c r="G111" i="27" s="1"/>
  <c r="E110" i="27"/>
  <c r="G110" i="27" s="1"/>
  <c r="E109" i="27"/>
  <c r="G109" i="27" s="1"/>
  <c r="E108" i="27"/>
  <c r="G108" i="27" s="1"/>
  <c r="G107" i="27"/>
  <c r="E107" i="27"/>
  <c r="G106" i="27"/>
  <c r="G105" i="27"/>
  <c r="G103" i="27"/>
  <c r="E102" i="27"/>
  <c r="G102" i="27" s="1"/>
  <c r="E101" i="27"/>
  <c r="G101" i="27" s="1"/>
  <c r="E100" i="27"/>
  <c r="G100" i="27" s="1"/>
  <c r="E99" i="27"/>
  <c r="G99" i="27" s="1"/>
  <c r="E98" i="27"/>
  <c r="G98" i="27" s="1"/>
  <c r="E97" i="27"/>
  <c r="G97" i="27" s="1"/>
  <c r="E96" i="27"/>
  <c r="G96" i="27" s="1"/>
  <c r="E95" i="27"/>
  <c r="G95" i="27" s="1"/>
  <c r="E94" i="27"/>
  <c r="G94" i="27" s="1"/>
  <c r="E93" i="27"/>
  <c r="G93" i="27" s="1"/>
  <c r="E86" i="27"/>
  <c r="G86" i="27" s="1"/>
  <c r="E85" i="27"/>
  <c r="G85" i="27" s="1"/>
  <c r="E84" i="27"/>
  <c r="G84" i="27" s="1"/>
  <c r="E83" i="27"/>
  <c r="G83" i="27" s="1"/>
  <c r="E82" i="27"/>
  <c r="G82" i="27" s="1"/>
  <c r="G81" i="27"/>
  <c r="E81" i="27"/>
  <c r="E76" i="27"/>
  <c r="G76" i="27" s="1"/>
  <c r="E75" i="27"/>
  <c r="G75" i="27" s="1"/>
  <c r="E74" i="27"/>
  <c r="G74" i="27" s="1"/>
  <c r="G73" i="27"/>
  <c r="E73" i="27"/>
  <c r="E72" i="27"/>
  <c r="G72" i="27" s="1"/>
  <c r="G71" i="27"/>
  <c r="E66" i="27"/>
  <c r="G66" i="27" s="1"/>
  <c r="E65" i="27"/>
  <c r="G65" i="27" s="1"/>
  <c r="E64" i="27"/>
  <c r="G64" i="27" s="1"/>
  <c r="G63" i="27"/>
  <c r="G61" i="27"/>
  <c r="G59" i="27"/>
  <c r="E58" i="27"/>
  <c r="G58" i="27" s="1"/>
  <c r="E57" i="27"/>
  <c r="G57" i="27" s="1"/>
  <c r="G56" i="27"/>
  <c r="E55" i="27"/>
  <c r="G55" i="27" s="1"/>
  <c r="E54" i="27"/>
  <c r="G54" i="27" s="1"/>
  <c r="E53" i="27"/>
  <c r="G53" i="27" s="1"/>
  <c r="E52" i="27"/>
  <c r="G52" i="27" s="1"/>
  <c r="E51" i="27"/>
  <c r="G51" i="27" s="1"/>
  <c r="E50" i="27"/>
  <c r="G50" i="27" s="1"/>
  <c r="G49" i="27"/>
  <c r="E48" i="27"/>
  <c r="G48" i="27" s="1"/>
  <c r="E47" i="27"/>
  <c r="G47" i="27" s="1"/>
  <c r="E46" i="27"/>
  <c r="G46" i="27" s="1"/>
  <c r="E45" i="27"/>
  <c r="G45" i="27" s="1"/>
  <c r="E44" i="27"/>
  <c r="G44" i="27" s="1"/>
  <c r="E43" i="27"/>
  <c r="G43" i="27" s="1"/>
  <c r="E42" i="27"/>
  <c r="G42" i="27" s="1"/>
  <c r="G41" i="27"/>
  <c r="E24" i="27"/>
  <c r="G24" i="27" s="1"/>
  <c r="E23" i="27"/>
  <c r="G23" i="27" s="1"/>
  <c r="E22" i="27"/>
  <c r="G22" i="27" s="1"/>
  <c r="E21" i="27"/>
  <c r="G21" i="27" s="1"/>
  <c r="E20" i="27"/>
  <c r="G20" i="27" s="1"/>
  <c r="E19" i="27"/>
  <c r="G19" i="27" s="1"/>
  <c r="E18" i="27"/>
  <c r="G18" i="27" s="1"/>
  <c r="E17" i="27"/>
  <c r="G17" i="27" s="1"/>
  <c r="E16" i="27"/>
  <c r="G16" i="27" s="1"/>
  <c r="E15" i="27"/>
  <c r="G15" i="27" s="1"/>
  <c r="E14" i="27"/>
  <c r="G14" i="27" s="1"/>
  <c r="E13" i="27"/>
  <c r="G13" i="27" s="1"/>
  <c r="E12" i="27"/>
  <c r="G12" i="27" s="1"/>
  <c r="E11" i="27"/>
  <c r="G11" i="27" s="1"/>
  <c r="E10" i="27"/>
  <c r="G10" i="27" s="1"/>
  <c r="E9" i="27"/>
  <c r="G9" i="27" s="1"/>
  <c r="G8" i="27"/>
  <c r="P407" i="27"/>
  <c r="S407" i="27" s="1"/>
  <c r="R409" i="27"/>
  <c r="D424" i="27"/>
  <c r="E424" i="27"/>
  <c r="D433" i="27"/>
  <c r="E433" i="27"/>
  <c r="E434" i="27"/>
  <c r="E435" i="27"/>
  <c r="S483" i="27"/>
  <c r="S484" i="27"/>
  <c r="S485" i="27"/>
  <c r="S486" i="27"/>
  <c r="T407" i="27" l="1"/>
  <c r="T409" i="27" s="1"/>
  <c r="G409" i="27"/>
  <c r="G411" i="27"/>
  <c r="P409" i="27"/>
  <c r="P411" i="27"/>
  <c r="S508" i="27"/>
  <c r="S507" i="27"/>
  <c r="S506" i="27"/>
  <c r="S505" i="27"/>
  <c r="S504" i="27"/>
  <c r="S503" i="27"/>
  <c r="S502" i="27"/>
  <c r="S501" i="27"/>
  <c r="S500" i="27"/>
  <c r="S499" i="27"/>
  <c r="S498" i="27"/>
  <c r="S497" i="27"/>
  <c r="S496" i="27"/>
  <c r="S495" i="27"/>
  <c r="S494" i="27"/>
  <c r="S493" i="27"/>
  <c r="S492" i="27"/>
  <c r="S491" i="27"/>
  <c r="S490" i="27"/>
  <c r="S489" i="27"/>
  <c r="S488" i="27"/>
  <c r="S487" i="27"/>
  <c r="P4" i="27"/>
  <c r="D4" i="27"/>
  <c r="R3" i="27"/>
  <c r="L3" i="27"/>
</calcChain>
</file>

<file path=xl/sharedStrings.xml><?xml version="1.0" encoding="utf-8"?>
<sst xmlns="http://schemas.openxmlformats.org/spreadsheetml/2006/main" count="6752" uniqueCount="993">
  <si>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</si>
  <si>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</si>
  <si>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</si>
  <si>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</si>
  <si>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</si>
  <si>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</si>
  <si>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</si>
  <si>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</si>
  <si>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</si>
  <si>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</si>
  <si>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</si>
  <si>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</si>
  <si>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</si>
  <si>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</si>
  <si>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</si>
  <si>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</si>
  <si>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</si>
  <si>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</si>
  <si>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</si>
  <si>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</si>
  <si>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</si>
  <si>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</si>
  <si>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</si>
  <si>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</si>
  <si>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</si>
  <si>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</si>
  <si>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</si>
  <si>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</si>
  <si>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</si>
  <si>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</si>
  <si>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</si>
  <si>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</si>
  <si>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</si>
  <si>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</si>
  <si>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</si>
  <si>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</si>
  <si>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</si>
  <si>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</si>
  <si>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</si>
  <si>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</si>
  <si>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</si>
  <si>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</si>
  <si>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</si>
  <si>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</si>
  <si>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</si>
  <si>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</si>
  <si>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</si>
  <si>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</si>
  <si>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</si>
  <si>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</si>
  <si>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</si>
  <si>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</si>
  <si>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</si>
  <si>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</si>
  <si>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</si>
  <si>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</si>
  <si>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</si>
  <si>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</si>
  <si>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</si>
  <si>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</si>
  <si>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</si>
  <si>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</si>
  <si>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</si>
  <si>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</si>
  <si>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</si>
  <si>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</si>
  <si>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</si>
  <si>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</si>
  <si>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</si>
  <si>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</si>
  <si>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</si>
  <si>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</si>
  <si>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</si>
  <si>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</si>
  <si>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</si>
  <si>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</si>
  <si>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</si>
  <si>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</si>
  <si>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</si>
  <si>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</si>
  <si>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</si>
  <si>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</si>
  <si>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</si>
  <si>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</si>
  <si>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</si>
  <si>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</si>
  <si>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</si>
  <si>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</si>
  <si>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</si>
  <si>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</si>
  <si>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</si>
  <si>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</si>
  <si>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</si>
  <si>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</si>
  <si>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</si>
  <si>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</si>
  <si>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</si>
  <si>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</si>
  <si>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</si>
  <si>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</si>
  <si>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</si>
  <si>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</si>
  <si>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</si>
  <si>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</si>
  <si>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</si>
  <si>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</si>
  <si>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</si>
  <si>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</si>
  <si>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</si>
  <si>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</si>
  <si>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</si>
  <si>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</si>
  <si>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</si>
  <si>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</si>
  <si>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</si>
  <si>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</si>
  <si>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</si>
  <si>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</si>
  <si>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</si>
  <si>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</si>
  <si>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</si>
  <si>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</si>
  <si>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</si>
  <si>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</si>
  <si>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</si>
  <si>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</si>
  <si>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</si>
  <si>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</si>
  <si>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</si>
  <si>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</si>
  <si>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</si>
  <si>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</si>
  <si>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</si>
  <si>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</si>
  <si>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</si>
  <si>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</si>
  <si>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</si>
  <si>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</si>
  <si>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</si>
  <si>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</si>
  <si>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</si>
  <si>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</si>
  <si>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</si>
  <si>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</si>
  <si>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</si>
  <si>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</si>
  <si>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</si>
  <si>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</si>
  <si>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</si>
  <si>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</si>
  <si>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</si>
  <si>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</si>
  <si>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</si>
  <si>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</si>
  <si>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</si>
  <si>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</si>
  <si>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</si>
  <si>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</si>
  <si>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</si>
  <si>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</si>
  <si>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</si>
  <si>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</si>
  <si>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</si>
  <si>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</si>
  <si>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</si>
  <si>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</si>
  <si>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</si>
  <si>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</si>
  <si>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</si>
  <si>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</si>
  <si>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</si>
  <si>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</si>
  <si>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</si>
  <si>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</si>
  <si>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</si>
  <si>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</si>
  <si>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</si>
  <si>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</si>
  <si>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</si>
  <si>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</si>
  <si>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</si>
  <si>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</si>
  <si>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</si>
  <si>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</si>
  <si>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</si>
  <si>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</si>
  <si>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</si>
  <si>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</si>
  <si>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</si>
  <si>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</si>
  <si>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</si>
  <si>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</si>
  <si>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</si>
  <si>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</si>
  <si>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</si>
  <si>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</si>
  <si>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</si>
  <si>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</si>
  <si>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</si>
  <si>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</si>
  <si>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</si>
  <si>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</si>
  <si>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</si>
  <si>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</si>
  <si>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</si>
  <si>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</si>
  <si>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</si>
  <si>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</si>
  <si>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</si>
  <si>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</si>
  <si>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</si>
  <si>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</si>
  <si>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</si>
  <si>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</si>
  <si>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</si>
  <si>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</si>
  <si>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</si>
  <si>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</si>
  <si>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</si>
  <si>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</si>
  <si>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</si>
  <si>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</si>
  <si>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</si>
  <si>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</si>
  <si>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</si>
  <si>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</si>
  <si>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</si>
  <si>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</si>
  <si>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</si>
  <si>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</si>
  <si>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</si>
  <si>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</si>
  <si>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</si>
  <si>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</si>
  <si>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</si>
  <si>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</si>
  <si>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</si>
  <si>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</si>
  <si>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</si>
  <si>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</si>
  <si>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</si>
  <si>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</si>
  <si>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</si>
  <si>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</si>
  <si>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</si>
  <si>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</si>
  <si>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</si>
  <si>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</si>
  <si>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</si>
  <si>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</si>
  <si>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</si>
  <si>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</si>
  <si>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</si>
  <si>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</si>
  <si>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</si>
  <si>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</si>
  <si>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</si>
  <si>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</si>
  <si>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</si>
  <si>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</si>
  <si>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</si>
  <si>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</si>
  <si>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</si>
  <si>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</si>
  <si>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</si>
  <si>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</si>
  <si>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</si>
  <si>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</si>
  <si>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</si>
  <si>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</si>
  <si>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</si>
  <si>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</si>
  <si>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</si>
  <si>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</si>
  <si>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</si>
  <si>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</si>
  <si>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</si>
  <si>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</si>
  <si>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</si>
  <si>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</si>
  <si>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</si>
  <si>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</si>
  <si>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</si>
  <si>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</si>
  <si>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</si>
  <si>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</si>
  <si>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</si>
  <si>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</si>
  <si>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</si>
  <si>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</si>
  <si>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</si>
  <si>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</si>
  <si>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</si>
  <si>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</si>
  <si>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</si>
  <si>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</si>
  <si>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</si>
  <si>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</si>
  <si>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</si>
  <si>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</si>
  <si>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</si>
  <si>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</si>
  <si>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</si>
  <si>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</si>
  <si>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</si>
  <si>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</si>
  <si>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</si>
  <si>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</si>
  <si>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</si>
  <si>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</si>
  <si>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</si>
  <si>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</si>
  <si>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</si>
  <si>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</si>
  <si>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</si>
  <si>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</si>
  <si>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</si>
  <si>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</si>
  <si>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</si>
  <si>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</si>
  <si>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</si>
  <si>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</si>
  <si>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</si>
  <si>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</si>
  <si>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</si>
  <si>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</si>
  <si>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</si>
  <si>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</si>
  <si>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</si>
  <si>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</si>
  <si>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</si>
  <si>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</si>
  <si>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</si>
  <si>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</si>
  <si>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</si>
  <si>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</si>
  <si>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</si>
  <si>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</si>
  <si>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</si>
  <si>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</si>
  <si>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</si>
  <si>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</si>
  <si>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</si>
  <si>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</si>
  <si>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</si>
  <si>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</si>
  <si>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</si>
  <si>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</si>
  <si>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</si>
  <si>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</si>
  <si>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</si>
  <si>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</si>
  <si>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</si>
  <si>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</si>
  <si>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</si>
  <si>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</si>
  <si>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</si>
  <si>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</si>
  <si>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</si>
  <si>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</si>
  <si>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</si>
  <si>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</si>
  <si>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</si>
  <si>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</si>
  <si>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</si>
  <si>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</si>
  <si>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</si>
  <si>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</si>
  <si>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</si>
  <si>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</si>
  <si>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</si>
  <si>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</si>
  <si>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</si>
  <si>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</si>
  <si>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</si>
  <si>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</si>
  <si>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</si>
  <si>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</si>
  <si>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</si>
  <si>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</si>
  <si>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</si>
  <si>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</si>
  <si>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</si>
  <si>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</si>
  <si>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</si>
  <si>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</si>
  <si>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</si>
  <si>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</si>
  <si>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</si>
  <si>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</si>
  <si>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</si>
  <si>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</si>
  <si>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</si>
  <si>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</si>
  <si>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</si>
  <si>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</si>
  <si>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</si>
  <si>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</si>
  <si>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</si>
  <si>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</si>
  <si>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</si>
  <si>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</si>
  <si>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</si>
  <si>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</si>
  <si>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</si>
  <si>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</si>
  <si>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</si>
  <si>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</si>
  <si>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</si>
  <si>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</si>
  <si>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</si>
  <si>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</si>
  <si>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</si>
  <si>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</si>
  <si>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</si>
  <si>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</si>
  <si>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</si>
  <si>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</si>
  <si>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</si>
  <si>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</si>
  <si>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</si>
  <si>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</si>
  <si>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</si>
  <si>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</si>
  <si>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</si>
  <si>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</si>
  <si>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</si>
  <si>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</si>
  <si>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</si>
  <si>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</si>
  <si>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</si>
  <si>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</si>
  <si>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</si>
  <si>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</si>
  <si>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</si>
  <si>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</si>
  <si>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</si>
  <si>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</si>
  <si>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</si>
  <si>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</si>
  <si>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</si>
  <si>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</si>
  <si>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</si>
  <si>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</si>
  <si>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</si>
  <si>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</si>
  <si>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</si>
  <si>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</si>
  <si>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</si>
  <si>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</si>
  <si>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</si>
  <si>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</si>
  <si>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</si>
  <si>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</si>
  <si>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</si>
  <si>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</si>
  <si>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</si>
  <si>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</si>
  <si>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</si>
  <si>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</si>
  <si>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</si>
  <si>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</si>
  <si>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</si>
  <si>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</si>
  <si>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</si>
  <si>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</si>
  <si>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</si>
  <si>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</si>
  <si>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</si>
  <si>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</si>
  <si>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</si>
  <si>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</si>
  <si>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</si>
  <si>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</si>
  <si>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</si>
  <si>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</si>
  <si>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</si>
  <si>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</si>
  <si>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</si>
  <si>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</si>
  <si>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</si>
  <si>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</si>
  <si>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</si>
  <si>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</si>
  <si>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</si>
  <si>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</si>
  <si>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</si>
  <si>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</si>
  <si>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</si>
  <si>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</si>
  <si>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</si>
  <si>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</si>
  <si>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</si>
  <si>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</si>
  <si>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</si>
  <si>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</si>
  <si>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</si>
  <si>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</si>
  <si>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</si>
  <si>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</si>
  <si>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</si>
  <si>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</si>
  <si>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</si>
  <si>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</si>
  <si>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</si>
  <si>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</si>
  <si>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</si>
  <si>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</si>
  <si>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</si>
  <si>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</si>
  <si>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</si>
  <si>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</si>
  <si>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</si>
  <si>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</si>
  <si>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</si>
  <si>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</si>
  <si>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</si>
  <si>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</si>
  <si>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</si>
  <si>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</si>
  <si>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</si>
  <si>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</si>
  <si>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</si>
  <si>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</si>
  <si>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</si>
  <si>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</si>
  <si>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</si>
  <si>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</si>
  <si>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</si>
  <si>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</si>
  <si>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</si>
  <si>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</si>
  <si>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</si>
  <si>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</si>
  <si>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</si>
  <si>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</si>
  <si>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</si>
  <si>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</si>
  <si>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</si>
  <si>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</si>
  <si>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</si>
  <si>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</si>
  <si>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</si>
  <si>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</si>
  <si>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</si>
  <si>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</si>
  <si>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</si>
  <si>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</si>
  <si>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</si>
  <si>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</si>
  <si>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</si>
  <si>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</si>
  <si>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</si>
  <si>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</si>
  <si>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</si>
  <si>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</si>
  <si>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</si>
  <si>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</si>
  <si>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</si>
  <si>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</si>
  <si>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</si>
  <si>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</si>
  <si>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</si>
  <si>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</si>
  <si>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</si>
  <si>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</si>
  <si>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</si>
  <si>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</si>
  <si>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</si>
  <si>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</si>
  <si>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</si>
  <si>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</si>
  <si>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</si>
  <si>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</si>
  <si>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</si>
  <si>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</si>
  <si>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</si>
  <si>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</si>
  <si>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</si>
  <si>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</si>
  <si>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</si>
  <si>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</si>
  <si>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</si>
  <si>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</si>
  <si>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</si>
  <si>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</si>
  <si>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</si>
  <si>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</si>
  <si>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</si>
  <si>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</si>
  <si>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</si>
  <si>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</si>
  <si>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</si>
  <si>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</si>
  <si>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</si>
  <si>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</si>
  <si>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</si>
  <si>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</si>
  <si>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</si>
  <si>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</si>
  <si>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</si>
  <si>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</si>
  <si>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</si>
  <si>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</si>
  <si>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</si>
  <si>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</si>
  <si>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</si>
  <si>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</si>
  <si>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</si>
  <si>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</si>
  <si>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</si>
  <si>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</si>
  <si>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</si>
  <si>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</si>
  <si>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</si>
  <si>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</si>
  <si>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</si>
  <si>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</si>
  <si>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</si>
  <si>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</si>
  <si>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</si>
  <si>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</si>
  <si>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</si>
  <si>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</si>
  <si>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</si>
  <si>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</si>
  <si>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</si>
  <si>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</si>
  <si>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</si>
  <si>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</si>
  <si>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</si>
  <si>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</si>
  <si>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</si>
  <si>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</si>
  <si>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</si>
  <si>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</si>
  <si>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</si>
  <si>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</si>
  <si>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</si>
  <si>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</si>
  <si>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</si>
  <si>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</si>
  <si>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</si>
  <si>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</si>
  <si>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</si>
  <si>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</si>
  <si>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</si>
  <si>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</si>
  <si>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</si>
  <si>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</si>
  <si>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</si>
  <si>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</si>
  <si>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</si>
  <si>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</si>
  <si>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</si>
  <si>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</si>
  <si>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</si>
  <si>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</si>
  <si>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</si>
  <si>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</si>
  <si>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</si>
  <si>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</si>
  <si>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</si>
  <si>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</si>
  <si>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</si>
  <si>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</si>
  <si>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</si>
  <si>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</si>
  <si>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</si>
  <si>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</si>
  <si>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</si>
  <si>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</si>
  <si>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</si>
  <si>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</si>
  <si>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</si>
  <si>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</si>
  <si>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</si>
  <si>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</si>
  <si>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</si>
  <si>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</si>
  <si>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</si>
  <si>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</si>
  <si>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</si>
  <si>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</si>
  <si>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</si>
  <si>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</si>
  <si>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</si>
  <si>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</si>
  <si>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</si>
  <si>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</si>
  <si>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</si>
  <si>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</si>
  <si>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</si>
  <si>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</si>
  <si>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</si>
  <si>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</si>
  <si>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</si>
  <si>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</si>
  <si>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</si>
  <si>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</si>
  <si>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</si>
  <si>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</si>
  <si>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</si>
  <si>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</si>
  <si>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</si>
  <si>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</si>
  <si>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</si>
  <si>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</si>
  <si>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</si>
  <si>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</si>
  <si>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</si>
  <si>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</si>
  <si>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</si>
  <si>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</si>
  <si>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</si>
  <si>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</si>
  <si>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</si>
  <si>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</si>
  <si>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</si>
  <si>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</si>
  <si>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</si>
  <si>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</si>
  <si>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</si>
  <si>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</si>
  <si>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</si>
  <si>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</si>
  <si>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</si>
  <si>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</si>
  <si>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</si>
  <si>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</si>
  <si>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</si>
  <si>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</si>
  <si>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</si>
  <si>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</si>
  <si>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</si>
  <si>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</si>
  <si>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</si>
  <si>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</si>
  <si>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</si>
  <si>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</si>
  <si>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</si>
  <si>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</si>
  <si>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</si>
  <si>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</si>
  <si>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</si>
  <si>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</si>
  <si>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</si>
  <si>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</si>
  <si>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</si>
  <si>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</si>
  <si>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</si>
  <si>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</si>
  <si>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</si>
  <si>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</si>
  <si>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</si>
  <si>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</si>
  <si>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</si>
  <si>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</si>
  <si>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</si>
  <si>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</si>
  <si>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</si>
  <si>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</si>
  <si>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</si>
  <si>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</si>
  <si>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</si>
  <si>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</si>
  <si>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</si>
  <si>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</si>
  <si>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</si>
  <si>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</si>
  <si>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</si>
  <si>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</si>
  <si>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</si>
  <si>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</si>
  <si>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</si>
  <si>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</si>
  <si>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</si>
  <si>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</si>
  <si>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</si>
  <si>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</si>
  <si>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</si>
  <si>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</si>
  <si>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</si>
  <si>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</si>
  <si>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</si>
  <si>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</si>
  <si>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</si>
  <si>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</si>
  <si>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</si>
  <si>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</si>
  <si>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</si>
  <si>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</si>
  <si>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</si>
  <si>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</si>
  <si>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</si>
  <si>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</si>
  <si>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</si>
  <si>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</si>
  <si>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</si>
  <si>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</si>
  <si>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</si>
  <si>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</si>
  <si>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</si>
  <si>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</si>
  <si>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</si>
  <si>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</si>
  <si>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</si>
  <si>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</si>
  <si>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</si>
  <si>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</si>
  <si>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</si>
  <si>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</si>
  <si>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</si>
  <si>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</si>
  <si>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</si>
  <si>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</si>
  <si>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</si>
  <si>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</si>
  <si>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</si>
  <si>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</si>
  <si>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</si>
  <si>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</si>
  <si>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</si>
  <si>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</si>
  <si>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</si>
  <si>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</si>
  <si>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</si>
  <si>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</si>
  <si>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</si>
  <si>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</si>
  <si>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</si>
  <si>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</si>
  <si>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</si>
  <si>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</si>
  <si>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</si>
  <si>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</si>
  <si>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</si>
  <si>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</si>
  <si>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</si>
  <si>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</si>
  <si>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</si>
  <si>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</si>
  <si>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</si>
  <si>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</si>
  <si>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</si>
  <si>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</si>
  <si>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</si>
  <si>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</si>
  <si>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</si>
  <si>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</si>
  <si>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</si>
  <si>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</si>
  <si>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</si>
  <si>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</si>
  <si>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</si>
  <si>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</si>
  <si>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</si>
  <si>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</si>
  <si>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</si>
  <si>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</si>
  <si>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</si>
  <si>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</si>
  <si>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</si>
  <si>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</si>
  <si>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</si>
  <si>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</si>
  <si>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</si>
  <si>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</si>
  <si>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</si>
  <si>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</si>
  <si>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</si>
  <si>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</si>
  <si>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</si>
  <si>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</si>
  <si>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</si>
  <si>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</si>
  <si>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</si>
  <si>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</si>
  <si>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</si>
  <si>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</si>
  <si>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</si>
  <si>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</si>
  <si>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</si>
  <si>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</si>
  <si>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</si>
  <si>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</si>
  <si>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</si>
  <si>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</si>
  <si>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</si>
  <si>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</si>
  <si>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</si>
  <si>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</si>
  <si>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</si>
  <si>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</si>
  <si>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</si>
  <si>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</si>
  <si>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</si>
  <si>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</si>
  <si>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</si>
  <si>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</si>
  <si>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</si>
  <si>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</si>
  <si>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</si>
  <si>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</si>
  <si>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</si>
  <si>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</si>
  <si>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</si>
  <si>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</si>
  <si>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</si>
  <si>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</si>
  <si>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</si>
  <si>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</si>
  <si>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</si>
  <si>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</si>
  <si>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</si>
  <si>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</si>
  <si>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</si>
  <si>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</si>
  <si>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</si>
  <si>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</si>
  <si>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</si>
  <si>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</si>
  <si>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</si>
  <si>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</si>
  <si>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</si>
  <si>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</si>
  <si>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</si>
  <si>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</si>
  <si>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</si>
  <si>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</si>
  <si>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</si>
  <si>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</si>
  <si>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</si>
  <si>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</si>
  <si>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</si>
  <si>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</si>
  <si>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</si>
  <si>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</si>
  <si>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</si>
  <si>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</si>
  <si>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</si>
  <si>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</si>
  <si>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</si>
  <si>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</si>
  <si>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</si>
  <si>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</si>
  <si>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</si>
  <si>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</si>
  <si>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</si>
  <si>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</si>
  <si>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</si>
  <si>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</si>
  <si>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</si>
  <si>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</si>
  <si>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</si>
  <si>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</si>
  <si>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</si>
  <si>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</si>
  <si>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</si>
  <si>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</si>
  <si>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</si>
  <si>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</si>
  <si>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</si>
  <si>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</si>
  <si>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</si>
  <si>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</si>
  <si>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</si>
  <si>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</si>
  <si>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</si>
  <si>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</si>
  <si>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</si>
  <si>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</si>
  <si>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</si>
  <si>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</si>
  <si>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</si>
  <si>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</si>
  <si>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</si>
  <si>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</si>
  <si>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</si>
  <si>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</si>
  <si>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</si>
  <si>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</si>
  <si>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</si>
  <si>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</si>
  <si>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</si>
  <si>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</si>
  <si>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</si>
  <si>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</si>
  <si>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</si>
  <si>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</si>
  <si>
    <t xml:space="preserve">tapicerka: RAL 6099, stelaż: RAL 9006, Uwagi: </t>
  </si>
  <si>
    <t>Obróbka wstępna: piaskowanie
Gruntowanie
Malowanie proszkowe:
Pozycja 1. stelaż: ( RAL 9006 )
Łączna grubość pokrycia: min. 90 µm warstwy suchej
Kooperant: Met-Kolor s.c.
Mariana Rapackiego 20, 20-151 Lublin</t>
  </si>
  <si>
    <t>awedq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</si>
</sst>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 x14ac:knownFonts="1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14" fontId="13" fillId="2" borderId="0" xfId="0" applyNumberFormat="1" applyFont="1" applyFill="1" applyBorder="1" applyAlignment="1">
      <alignment horizontal="center" vertical="center" shrinkToFi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566"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65"/>
      <tableStyleElement type="headerRow" dxfId="564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4" t="s">
        <v>836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76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 x14ac:dyDescent="0.2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 x14ac:dyDescent="0.2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 x14ac:dyDescent="0.2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 x14ac:dyDescent="0.2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 x14ac:dyDescent="0.2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 x14ac:dyDescent="0.2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 x14ac:dyDescent="0.2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 x14ac:dyDescent="0.2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 x14ac:dyDescent="0.2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 x14ac:dyDescent="0.2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 x14ac:dyDescent="0.2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 x14ac:dyDescent="0.2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 x14ac:dyDescent="0.2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 x14ac:dyDescent="0.2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 x14ac:dyDescent="0.2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 x14ac:dyDescent="0.2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 x14ac:dyDescent="0.2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 x14ac:dyDescent="0.2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 x14ac:dyDescent="0.2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 x14ac:dyDescent="0.2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 x14ac:dyDescent="0.2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 x14ac:dyDescent="0.2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 x14ac:dyDescent="0.2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 x14ac:dyDescent="0.2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 x14ac:dyDescent="0.2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 x14ac:dyDescent="0.2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 x14ac:dyDescent="0.2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 x14ac:dyDescent="0.2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 x14ac:dyDescent="0.2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 x14ac:dyDescent="0.2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 x14ac:dyDescent="0.2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 x14ac:dyDescent="0.2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 x14ac:dyDescent="0.2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 x14ac:dyDescent="0.2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 x14ac:dyDescent="0.2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 x14ac:dyDescent="0.2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 x14ac:dyDescent="0.2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 x14ac:dyDescent="0.2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 x14ac:dyDescent="0.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 x14ac:dyDescent="0.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 x14ac:dyDescent="0.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x14ac:dyDescent="0.2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 x14ac:dyDescent="0.2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 x14ac:dyDescent="0.2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 x14ac:dyDescent="0.2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 x14ac:dyDescent="0.2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 x14ac:dyDescent="0.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 x14ac:dyDescent="0.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 x14ac:dyDescent="0.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 x14ac:dyDescent="0.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 x14ac:dyDescent="0.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 x14ac:dyDescent="0.2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 x14ac:dyDescent="0.2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 x14ac:dyDescent="0.2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 x14ac:dyDescent="0.2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 x14ac:dyDescent="0.2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 x14ac:dyDescent="0.2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 x14ac:dyDescent="0.2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 x14ac:dyDescent="0.2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 x14ac:dyDescent="0.2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 x14ac:dyDescent="0.2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 x14ac:dyDescent="0.2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 x14ac:dyDescent="0.2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 x14ac:dyDescent="0.2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 x14ac:dyDescent="0.2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 x14ac:dyDescent="0.2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 x14ac:dyDescent="0.2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 x14ac:dyDescent="0.2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 x14ac:dyDescent="0.2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 x14ac:dyDescent="0.2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 x14ac:dyDescent="0.2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 x14ac:dyDescent="0.2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 x14ac:dyDescent="0.2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 x14ac:dyDescent="0.2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 x14ac:dyDescent="0.2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 x14ac:dyDescent="0.2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 x14ac:dyDescent="0.2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 x14ac:dyDescent="0.2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 x14ac:dyDescent="0.2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 x14ac:dyDescent="0.2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 x14ac:dyDescent="0.2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 x14ac:dyDescent="0.2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 x14ac:dyDescent="0.2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 x14ac:dyDescent="0.2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 x14ac:dyDescent="0.2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 x14ac:dyDescent="0.2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 x14ac:dyDescent="0.2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 x14ac:dyDescent="0.2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 x14ac:dyDescent="0.2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 x14ac:dyDescent="0.2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 x14ac:dyDescent="0.2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 x14ac:dyDescent="0.2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 x14ac:dyDescent="0.2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 x14ac:dyDescent="0.2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 x14ac:dyDescent="0.2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 x14ac:dyDescent="0.2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 x14ac:dyDescent="0.2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 x14ac:dyDescent="0.2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 x14ac:dyDescent="0.2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 x14ac:dyDescent="0.2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 x14ac:dyDescent="0.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 x14ac:dyDescent="0.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 x14ac:dyDescent="0.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 x14ac:dyDescent="0.2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 x14ac:dyDescent="0.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 x14ac:dyDescent="0.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 x14ac:dyDescent="0.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 x14ac:dyDescent="0.2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 x14ac:dyDescent="0.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 x14ac:dyDescent="0.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 x14ac:dyDescent="0.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 x14ac:dyDescent="0.2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 x14ac:dyDescent="0.2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 x14ac:dyDescent="0.2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 x14ac:dyDescent="0.2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 x14ac:dyDescent="0.2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 x14ac:dyDescent="0.2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 x14ac:dyDescent="0.2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 x14ac:dyDescent="0.2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 x14ac:dyDescent="0.2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 x14ac:dyDescent="0.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 x14ac:dyDescent="0.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 x14ac:dyDescent="0.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 x14ac:dyDescent="0.2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 x14ac:dyDescent="0.2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 x14ac:dyDescent="0.2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 x14ac:dyDescent="0.2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 x14ac:dyDescent="0.2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 x14ac:dyDescent="0.2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 x14ac:dyDescent="0.2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 x14ac:dyDescent="0.2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 x14ac:dyDescent="0.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 x14ac:dyDescent="0.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 x14ac:dyDescent="0.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 x14ac:dyDescent="0.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 x14ac:dyDescent="0.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 x14ac:dyDescent="0.2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 x14ac:dyDescent="0.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 x14ac:dyDescent="0.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 x14ac:dyDescent="0.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 x14ac:dyDescent="0.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 x14ac:dyDescent="0.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 x14ac:dyDescent="0.2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 x14ac:dyDescent="0.2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 x14ac:dyDescent="0.2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 x14ac:dyDescent="0.2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 x14ac:dyDescent="0.2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 x14ac:dyDescent="0.2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 x14ac:dyDescent="0.2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 x14ac:dyDescent="0.2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 x14ac:dyDescent="0.2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 x14ac:dyDescent="0.2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 x14ac:dyDescent="0.2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 x14ac:dyDescent="0.2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 x14ac:dyDescent="0.2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 x14ac:dyDescent="0.2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 x14ac:dyDescent="0.2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 x14ac:dyDescent="0.2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 x14ac:dyDescent="0.2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 x14ac:dyDescent="0.2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 x14ac:dyDescent="0.2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 x14ac:dyDescent="0.2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 x14ac:dyDescent="0.2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 x14ac:dyDescent="0.2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 x14ac:dyDescent="0.2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 x14ac:dyDescent="0.2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 x14ac:dyDescent="0.2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 x14ac:dyDescent="0.2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 x14ac:dyDescent="0.2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 x14ac:dyDescent="0.2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 x14ac:dyDescent="0.2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 x14ac:dyDescent="0.2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 x14ac:dyDescent="0.2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 x14ac:dyDescent="0.2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 x14ac:dyDescent="0.2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 x14ac:dyDescent="0.2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 x14ac:dyDescent="0.2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 x14ac:dyDescent="0.2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 x14ac:dyDescent="0.2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 x14ac:dyDescent="0.2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 x14ac:dyDescent="0.2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 x14ac:dyDescent="0.2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 x14ac:dyDescent="0.2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 x14ac:dyDescent="0.2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 x14ac:dyDescent="0.2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 x14ac:dyDescent="0.2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 x14ac:dyDescent="0.2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 x14ac:dyDescent="0.2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 x14ac:dyDescent="0.2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 x14ac:dyDescent="0.2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 x14ac:dyDescent="0.2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 x14ac:dyDescent="0.2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 x14ac:dyDescent="0.2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 x14ac:dyDescent="0.2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 x14ac:dyDescent="0.2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 x14ac:dyDescent="0.2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 x14ac:dyDescent="0.2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 x14ac:dyDescent="0.2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 x14ac:dyDescent="0.2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 x14ac:dyDescent="0.2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 x14ac:dyDescent="0.2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 x14ac:dyDescent="0.2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 x14ac:dyDescent="0.2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 x14ac:dyDescent="0.2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 x14ac:dyDescent="0.2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 x14ac:dyDescent="0.2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 x14ac:dyDescent="0.2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 x14ac:dyDescent="0.2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 x14ac:dyDescent="0.2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 x14ac:dyDescent="0.2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 x14ac:dyDescent="0.2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 x14ac:dyDescent="0.2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 x14ac:dyDescent="0.2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 x14ac:dyDescent="0.2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 x14ac:dyDescent="0.2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 x14ac:dyDescent="0.2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 x14ac:dyDescent="0.2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 x14ac:dyDescent="0.2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 x14ac:dyDescent="0.2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 x14ac:dyDescent="0.2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 x14ac:dyDescent="0.2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 x14ac:dyDescent="0.2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 x14ac:dyDescent="0.2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 x14ac:dyDescent="0.2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 x14ac:dyDescent="0.2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 x14ac:dyDescent="0.2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 x14ac:dyDescent="0.2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 x14ac:dyDescent="0.2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 x14ac:dyDescent="0.2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 x14ac:dyDescent="0.2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 x14ac:dyDescent="0.2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 x14ac:dyDescent="0.25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 x14ac:dyDescent="0.25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 x14ac:dyDescent="0.25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 x14ac:dyDescent="0.25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 x14ac:dyDescent="0.25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 x14ac:dyDescent="0.25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 x14ac:dyDescent="0.25">
      <c r="A292" s="77"/>
      <c r="B292" s="77"/>
      <c r="C292" s="263" t="s">
        <v>45</v>
      </c>
      <c r="D292" s="263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 x14ac:dyDescent="0.2">
      <c r="A293" s="77"/>
      <c r="B293" s="77"/>
      <c r="C293" s="263"/>
      <c r="D293" s="263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 x14ac:dyDescent="0.2">
      <c r="A294" s="77"/>
      <c r="B294" s="77"/>
      <c r="C294" s="263"/>
      <c r="D294" s="263"/>
      <c r="E294" s="83"/>
      <c r="F294" s="83"/>
      <c r="G294" s="264" t="s">
        <v>370</v>
      </c>
      <c r="H294" s="265"/>
      <c r="I294" s="265"/>
      <c r="J294" s="266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 x14ac:dyDescent="0.2">
      <c r="B295" s="77"/>
      <c r="C295" s="263"/>
      <c r="D295" s="263"/>
      <c r="E295" s="85"/>
      <c r="F295" s="85"/>
      <c r="G295" s="267"/>
      <c r="H295" s="268"/>
      <c r="I295" s="268"/>
      <c r="J295" s="269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">
      <c r="B296" s="77"/>
      <c r="C296" s="263"/>
      <c r="D296" s="263"/>
      <c r="E296" s="89"/>
      <c r="F296" s="85"/>
      <c r="G296" s="267"/>
      <c r="H296" s="268"/>
      <c r="I296" s="268"/>
      <c r="J296" s="269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 x14ac:dyDescent="0.2">
      <c r="B297" s="77"/>
      <c r="D297" s="84"/>
      <c r="E297" s="85"/>
      <c r="F297" s="85"/>
      <c r="G297" s="267"/>
      <c r="H297" s="268"/>
      <c r="I297" s="268"/>
      <c r="J297" s="269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 x14ac:dyDescent="0.2">
      <c r="B298" s="77"/>
      <c r="D298" s="84"/>
      <c r="E298" s="85"/>
      <c r="F298" s="85"/>
      <c r="G298" s="267"/>
      <c r="H298" s="268"/>
      <c r="I298" s="268"/>
      <c r="J298" s="269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 x14ac:dyDescent="0.25">
      <c r="A299" s="175"/>
      <c r="B299" s="98"/>
      <c r="C299" s="98"/>
      <c r="D299" s="98"/>
      <c r="E299" s="99"/>
      <c r="F299" s="99"/>
      <c r="G299" s="267"/>
      <c r="H299" s="268"/>
      <c r="I299" s="268"/>
      <c r="J299" s="269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 x14ac:dyDescent="0.2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67"/>
      <c r="H300" s="268"/>
      <c r="I300" s="268"/>
      <c r="J300" s="269"/>
    </row>
    <row r="301" spans="1:31" x14ac:dyDescent="0.2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67"/>
      <c r="H301" s="268"/>
      <c r="I301" s="268"/>
      <c r="J301" s="269"/>
    </row>
    <row r="302" spans="1:31" x14ac:dyDescent="0.2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67"/>
      <c r="H302" s="268"/>
      <c r="I302" s="268"/>
      <c r="J302" s="269"/>
    </row>
    <row r="303" spans="1:31" x14ac:dyDescent="0.2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67"/>
      <c r="H303" s="268"/>
      <c r="I303" s="268"/>
      <c r="J303" s="269"/>
    </row>
    <row r="304" spans="1:31" x14ac:dyDescent="0.2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67"/>
      <c r="H304" s="268"/>
      <c r="I304" s="268"/>
      <c r="J304" s="269"/>
    </row>
    <row r="305" spans="1:31" x14ac:dyDescent="0.2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70"/>
      <c r="H305" s="271"/>
      <c r="I305" s="271"/>
      <c r="J305" s="272"/>
    </row>
    <row r="306" spans="1:31" x14ac:dyDescent="0.2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 x14ac:dyDescent="0.2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 x14ac:dyDescent="0.2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 x14ac:dyDescent="0.25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 x14ac:dyDescent="0.25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 x14ac:dyDescent="0.2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 x14ac:dyDescent="0.2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 x14ac:dyDescent="0.2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 x14ac:dyDescent="0.2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 x14ac:dyDescent="0.2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 x14ac:dyDescent="0.2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 x14ac:dyDescent="0.2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 x14ac:dyDescent="0.2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 x14ac:dyDescent="0.2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 x14ac:dyDescent="0.2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 x14ac:dyDescent="0.2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 x14ac:dyDescent="0.2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 x14ac:dyDescent="0.2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 x14ac:dyDescent="0.2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 x14ac:dyDescent="0.2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 x14ac:dyDescent="0.2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 x14ac:dyDescent="0.2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 x14ac:dyDescent="0.2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 x14ac:dyDescent="0.2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 x14ac:dyDescent="0.2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 x14ac:dyDescent="0.2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 x14ac:dyDescent="0.2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 x14ac:dyDescent="0.2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 x14ac:dyDescent="0.2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 x14ac:dyDescent="0.2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 x14ac:dyDescent="0.2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 x14ac:dyDescent="0.2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 x14ac:dyDescent="0.2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 x14ac:dyDescent="0.2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 x14ac:dyDescent="0.2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 x14ac:dyDescent="0.2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 x14ac:dyDescent="0.2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 x14ac:dyDescent="0.2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 x14ac:dyDescent="0.2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 x14ac:dyDescent="0.2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 x14ac:dyDescent="0.2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 x14ac:dyDescent="0.2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 x14ac:dyDescent="0.2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 x14ac:dyDescent="0.2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 x14ac:dyDescent="0.2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 x14ac:dyDescent="0.2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 x14ac:dyDescent="0.2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 x14ac:dyDescent="0.2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 x14ac:dyDescent="0.2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 x14ac:dyDescent="0.2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 x14ac:dyDescent="0.2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 x14ac:dyDescent="0.2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 x14ac:dyDescent="0.2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 x14ac:dyDescent="0.2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 x14ac:dyDescent="0.2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 x14ac:dyDescent="0.2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 x14ac:dyDescent="0.2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 x14ac:dyDescent="0.2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 x14ac:dyDescent="0.2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 x14ac:dyDescent="0.2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 x14ac:dyDescent="0.2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 x14ac:dyDescent="0.2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 x14ac:dyDescent="0.2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 x14ac:dyDescent="0.2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 x14ac:dyDescent="0.2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 x14ac:dyDescent="0.2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 x14ac:dyDescent="0.2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 x14ac:dyDescent="0.2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 x14ac:dyDescent="0.2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 x14ac:dyDescent="0.2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 x14ac:dyDescent="0.2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 x14ac:dyDescent="0.2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 x14ac:dyDescent="0.2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 x14ac:dyDescent="0.2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 x14ac:dyDescent="0.2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 x14ac:dyDescent="0.2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 x14ac:dyDescent="0.2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 x14ac:dyDescent="0.2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 x14ac:dyDescent="0.2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 x14ac:dyDescent="0.2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 x14ac:dyDescent="0.2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C292:D296"/>
    <mergeCell ref="G294:J305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282:N287">
    <cfRule type="expression" dxfId="563" priority="187" stopIfTrue="1">
      <formula>IF(AND(ISBLANK(N282),IF(L282&lt;TODAY(),TRUE,FALSE))=FALSE,FALSE,TRUE)</formula>
    </cfRule>
    <cfRule type="expression" dxfId="562" priority="188" stopIfTrue="1">
      <formula>IF(AND(IF(M282="",FALSE,TRUE),IF(N282="",FALSE,TRUE))=TRUE,TRUE,FALSE)</formula>
    </cfRule>
  </conditionalFormatting>
  <conditionalFormatting sqref="O282:O287">
    <cfRule type="expression" dxfId="561" priority="186" stopIfTrue="1">
      <formula>IF(OR(ISNUMBER(O282),ISBLANK(F282)),FALSE,TRUE)</formula>
    </cfRule>
  </conditionalFormatting>
  <conditionalFormatting sqref="L282:L287">
    <cfRule type="expression" dxfId="560" priority="183" stopIfTrue="1">
      <formula>IF(AND(IF(L282&lt;TODAY(),TRUE,FALSE),ISBLANK(N282)),TRUE,FALSE)</formula>
    </cfRule>
    <cfRule type="expression" dxfId="559" priority="184" stopIfTrue="1">
      <formula>IF(AND(IF(M282="",FALSE,TRUE),IF(N282="",FALSE,TRUE))=TRUE,TRUE,FALSE)</formula>
    </cfRule>
    <cfRule type="expression" dxfId="558" priority="185" stopIfTrue="1">
      <formula>IF(AND(IF(L282&lt;TODAY(),TRUE,FALSE),ISBLANK(M282)),TRUE,FALSE)</formula>
    </cfRule>
  </conditionalFormatting>
  <conditionalFormatting sqref="M282:M287">
    <cfRule type="expression" dxfId="557" priority="180" stopIfTrue="1">
      <formula>IF(AND(IF(M282="",FALSE,TRUE),IF(N282="",FALSE,TRUE))=TRUE,TRUE,FALSE)</formula>
    </cfRule>
    <cfRule type="expression" dxfId="556" priority="181" stopIfTrue="1">
      <formula>IF(AND(ISBLANK(M282),IF(L282&lt;TODAY(),TRUE,FALSE))=FALSE,FALSE,TRUE)</formula>
    </cfRule>
    <cfRule type="expression" dxfId="555" priority="182" stopIfTrue="1">
      <formula>IF(AND(IF(L282="",FALSE,TRUE),IF(M282="",FALSE,TRUE))=FALSE,TRUE,FALSE)</formula>
    </cfRule>
  </conditionalFormatting>
  <conditionalFormatting sqref="I286:I287 Q251 Q268:Q287">
    <cfRule type="cellIs" dxfId="554" priority="179" stopIfTrue="1" operator="greaterThan">
      <formula>0</formula>
    </cfRule>
  </conditionalFormatting>
  <conditionalFormatting sqref="P288:P289">
    <cfRule type="expression" dxfId="553" priority="178" stopIfTrue="1">
      <formula>IF(P288="",FALSE,TRUE)</formula>
    </cfRule>
  </conditionalFormatting>
  <conditionalFormatting sqref="I274:I285 I8:I267">
    <cfRule type="cellIs" dxfId="552" priority="177" stopIfTrue="1" operator="greaterThan">
      <formula>0</formula>
    </cfRule>
  </conditionalFormatting>
  <conditionalFormatting sqref="N268:N273">
    <cfRule type="expression" dxfId="551" priority="140" stopIfTrue="1">
      <formula>IF(AND(ISBLANK(N268),IF(L268&lt;TODAY(),TRUE,FALSE))=FALSE,FALSE,TRUE)</formula>
    </cfRule>
    <cfRule type="expression" dxfId="550" priority="141" stopIfTrue="1">
      <formula>IF(AND(IF(M268="",FALSE,TRUE),IF(N268="",FALSE,TRUE))=TRUE,TRUE,FALSE)</formula>
    </cfRule>
  </conditionalFormatting>
  <conditionalFormatting sqref="O268:O273">
    <cfRule type="expression" dxfId="549" priority="142" stopIfTrue="1">
      <formula>IF(OR(ISNUMBER(O268),ISBLANK(F268)),FALSE,TRUE)</formula>
    </cfRule>
  </conditionalFormatting>
  <conditionalFormatting sqref="L268:L273">
    <cfRule type="expression" dxfId="548" priority="143" stopIfTrue="1">
      <formula>IF(AND(IF(L268&lt;TODAY(),TRUE,FALSE),ISBLANK(N268)),TRUE,FALSE)</formula>
    </cfRule>
    <cfRule type="expression" dxfId="547" priority="144" stopIfTrue="1">
      <formula>IF(AND(IF(M268="",FALSE,TRUE),IF(N268="",FALSE,TRUE))=TRUE,TRUE,FALSE)</formula>
    </cfRule>
    <cfRule type="expression" dxfId="546" priority="145" stopIfTrue="1">
      <formula>IF(AND(IF(L268&lt;TODAY(),TRUE,FALSE),ISBLANK(M268)),TRUE,FALSE)</formula>
    </cfRule>
  </conditionalFormatting>
  <conditionalFormatting sqref="M268:M273">
    <cfRule type="expression" dxfId="545" priority="146" stopIfTrue="1">
      <formula>IF(AND(IF(M268="",FALSE,TRUE),IF(N268="",FALSE,TRUE))=TRUE,TRUE,FALSE)</formula>
    </cfRule>
    <cfRule type="expression" dxfId="544" priority="147" stopIfTrue="1">
      <formula>IF(AND(ISBLANK(M268),IF(L268&lt;TODAY(),TRUE,FALSE))=FALSE,FALSE,TRUE)</formula>
    </cfRule>
    <cfRule type="expression" dxfId="543" priority="148" stopIfTrue="1">
      <formula>IF(AND(IF(L268="",FALSE,TRUE),IF(M268="",FALSE,TRUE))=FALSE,TRUE,FALSE)</formula>
    </cfRule>
  </conditionalFormatting>
  <conditionalFormatting sqref="N274:N275">
    <cfRule type="expression" dxfId="542" priority="138" stopIfTrue="1">
      <formula>IF(AND(ISBLANK(N274),IF(L274&lt;TODAY(),TRUE,FALSE))=FALSE,FALSE,TRUE)</formula>
    </cfRule>
    <cfRule type="expression" dxfId="541" priority="139" stopIfTrue="1">
      <formula>IF(AND(IF(M274="",FALSE,TRUE),IF(N274="",FALSE,TRUE))=TRUE,TRUE,FALSE)</formula>
    </cfRule>
  </conditionalFormatting>
  <conditionalFormatting sqref="O274:O275">
    <cfRule type="expression" dxfId="540" priority="137" stopIfTrue="1">
      <formula>IF(OR(ISNUMBER(O274),ISBLANK(F274)),FALSE,TRUE)</formula>
    </cfRule>
  </conditionalFormatting>
  <conditionalFormatting sqref="L274:L275">
    <cfRule type="expression" dxfId="539" priority="134" stopIfTrue="1">
      <formula>IF(AND(IF(L274&lt;TODAY(),TRUE,FALSE),ISBLANK(N274)),TRUE,FALSE)</formula>
    </cfRule>
    <cfRule type="expression" dxfId="538" priority="135" stopIfTrue="1">
      <formula>IF(AND(IF(M274="",FALSE,TRUE),IF(N274="",FALSE,TRUE))=TRUE,TRUE,FALSE)</formula>
    </cfRule>
    <cfRule type="expression" dxfId="537" priority="136" stopIfTrue="1">
      <formula>IF(AND(IF(L274&lt;TODAY(),TRUE,FALSE),ISBLANK(M274)),TRUE,FALSE)</formula>
    </cfRule>
  </conditionalFormatting>
  <conditionalFormatting sqref="M274:M275">
    <cfRule type="expression" dxfId="536" priority="131" stopIfTrue="1">
      <formula>IF(AND(IF(M274="",FALSE,TRUE),IF(N274="",FALSE,TRUE))=TRUE,TRUE,FALSE)</formula>
    </cfRule>
    <cfRule type="expression" dxfId="535" priority="132" stopIfTrue="1">
      <formula>IF(AND(ISBLANK(M274),IF(L274&lt;TODAY(),TRUE,FALSE))=FALSE,FALSE,TRUE)</formula>
    </cfRule>
    <cfRule type="expression" dxfId="534" priority="133" stopIfTrue="1">
      <formula>IF(AND(IF(L274="",FALSE,TRUE),IF(M274="",FALSE,TRUE))=FALSE,TRUE,FALSE)</formula>
    </cfRule>
  </conditionalFormatting>
  <conditionalFormatting sqref="N276:N277">
    <cfRule type="expression" dxfId="533" priority="127" stopIfTrue="1">
      <formula>IF(AND(ISBLANK(N276),IF(L276&lt;TODAY(),TRUE,FALSE))=FALSE,FALSE,TRUE)</formula>
    </cfRule>
    <cfRule type="expression" dxfId="532" priority="128" stopIfTrue="1">
      <formula>IF(AND(IF(M276="",FALSE,TRUE),IF(N276="",FALSE,TRUE))=TRUE,TRUE,FALSE)</formula>
    </cfRule>
  </conditionalFormatting>
  <conditionalFormatting sqref="O276:O277">
    <cfRule type="expression" dxfId="531" priority="126" stopIfTrue="1">
      <formula>IF(OR(ISNUMBER(O276),ISBLANK(F276)),FALSE,TRUE)</formula>
    </cfRule>
  </conditionalFormatting>
  <conditionalFormatting sqref="L276:L277">
    <cfRule type="expression" dxfId="530" priority="123" stopIfTrue="1">
      <formula>IF(AND(IF(L276&lt;TODAY(),TRUE,FALSE),ISBLANK(N276)),TRUE,FALSE)</formula>
    </cfRule>
    <cfRule type="expression" dxfId="529" priority="124" stopIfTrue="1">
      <formula>IF(AND(IF(M276="",FALSE,TRUE),IF(N276="",FALSE,TRUE))=TRUE,TRUE,FALSE)</formula>
    </cfRule>
    <cfRule type="expression" dxfId="528" priority="125" stopIfTrue="1">
      <formula>IF(AND(IF(L276&lt;TODAY(),TRUE,FALSE),ISBLANK(M276)),TRUE,FALSE)</formula>
    </cfRule>
  </conditionalFormatting>
  <conditionalFormatting sqref="M276:M277">
    <cfRule type="expression" dxfId="527" priority="120" stopIfTrue="1">
      <formula>IF(AND(IF(M276="",FALSE,TRUE),IF(N276="",FALSE,TRUE))=TRUE,TRUE,FALSE)</formula>
    </cfRule>
    <cfRule type="expression" dxfId="526" priority="121" stopIfTrue="1">
      <formula>IF(AND(ISBLANK(M276),IF(L276&lt;TODAY(),TRUE,FALSE))=FALSE,FALSE,TRUE)</formula>
    </cfRule>
    <cfRule type="expression" dxfId="525" priority="122" stopIfTrue="1">
      <formula>IF(AND(IF(L276="",FALSE,TRUE),IF(M276="",FALSE,TRUE))=FALSE,TRUE,FALSE)</formula>
    </cfRule>
  </conditionalFormatting>
  <conditionalFormatting sqref="N278:N281">
    <cfRule type="expression" dxfId="524" priority="115" stopIfTrue="1">
      <formula>IF(AND(ISBLANK(N278),IF(L278&lt;TODAY(),TRUE,FALSE))=FALSE,FALSE,TRUE)</formula>
    </cfRule>
    <cfRule type="expression" dxfId="523" priority="116" stopIfTrue="1">
      <formula>IF(AND(IF(M278="",FALSE,TRUE),IF(N278="",FALSE,TRUE))=TRUE,TRUE,FALSE)</formula>
    </cfRule>
  </conditionalFormatting>
  <conditionalFormatting sqref="O278:O281">
    <cfRule type="expression" dxfId="522" priority="114" stopIfTrue="1">
      <formula>IF(OR(ISNUMBER(O278),ISBLANK(F278)),FALSE,TRUE)</formula>
    </cfRule>
  </conditionalFormatting>
  <conditionalFormatting sqref="L278:L281">
    <cfRule type="expression" dxfId="521" priority="111" stopIfTrue="1">
      <formula>IF(AND(IF(L278&lt;TODAY(),TRUE,FALSE),ISBLANK(N278)),TRUE,FALSE)</formula>
    </cfRule>
    <cfRule type="expression" dxfId="520" priority="112" stopIfTrue="1">
      <formula>IF(AND(IF(M278="",FALSE,TRUE),IF(N278="",FALSE,TRUE))=TRUE,TRUE,FALSE)</formula>
    </cfRule>
    <cfRule type="expression" dxfId="519" priority="113" stopIfTrue="1">
      <formula>IF(AND(IF(L278&lt;TODAY(),TRUE,FALSE),ISBLANK(M278)),TRUE,FALSE)</formula>
    </cfRule>
  </conditionalFormatting>
  <conditionalFormatting sqref="M278:M281">
    <cfRule type="expression" dxfId="518" priority="108" stopIfTrue="1">
      <formula>IF(AND(IF(M278="",FALSE,TRUE),IF(N278="",FALSE,TRUE))=TRUE,TRUE,FALSE)</formula>
    </cfRule>
    <cfRule type="expression" dxfId="517" priority="109" stopIfTrue="1">
      <formula>IF(AND(ISBLANK(M278),IF(L278&lt;TODAY(),TRUE,FALSE))=FALSE,FALSE,TRUE)</formula>
    </cfRule>
    <cfRule type="expression" dxfId="516" priority="110" stopIfTrue="1">
      <formula>IF(AND(IF(L278="",FALSE,TRUE),IF(M278="",FALSE,TRUE))=FALSE,TRUE,FALSE)</formula>
    </cfRule>
  </conditionalFormatting>
  <conditionalFormatting sqref="N251">
    <cfRule type="expression" dxfId="515" priority="90" stopIfTrue="1">
      <formula>IF(AND(ISBLANK(N251),IF(L251&lt;TODAY(),TRUE,FALSE))=FALSE,FALSE,TRUE)</formula>
    </cfRule>
    <cfRule type="expression" dxfId="514" priority="91" stopIfTrue="1">
      <formula>IF(AND(IF(M251="",FALSE,TRUE),IF(N251="",FALSE,TRUE))=TRUE,TRUE,FALSE)</formula>
    </cfRule>
  </conditionalFormatting>
  <conditionalFormatting sqref="O251">
    <cfRule type="expression" dxfId="513" priority="89" stopIfTrue="1">
      <formula>IF(OR(ISNUMBER(O251),ISBLANK(F251)),FALSE,TRUE)</formula>
    </cfRule>
  </conditionalFormatting>
  <conditionalFormatting sqref="L251">
    <cfRule type="expression" dxfId="512" priority="86" stopIfTrue="1">
      <formula>IF(AND(IF(L251&lt;TODAY(),TRUE,FALSE),ISBLANK(N251)),TRUE,FALSE)</formula>
    </cfRule>
    <cfRule type="expression" dxfId="511" priority="87" stopIfTrue="1">
      <formula>IF(AND(IF(M251="",FALSE,TRUE),IF(N251="",FALSE,TRUE))=TRUE,TRUE,FALSE)</formula>
    </cfRule>
    <cfRule type="expression" dxfId="510" priority="88" stopIfTrue="1">
      <formula>IF(AND(IF(L251&lt;TODAY(),TRUE,FALSE),ISBLANK(M251)),TRUE,FALSE)</formula>
    </cfRule>
  </conditionalFormatting>
  <conditionalFormatting sqref="M251">
    <cfRule type="expression" dxfId="509" priority="83" stopIfTrue="1">
      <formula>IF(AND(IF(M251="",FALSE,TRUE),IF(N251="",FALSE,TRUE))=TRUE,TRUE,FALSE)</formula>
    </cfRule>
    <cfRule type="expression" dxfId="508" priority="84" stopIfTrue="1">
      <formula>IF(AND(ISBLANK(M251),IF(L251&lt;TODAY(),TRUE,FALSE))=FALSE,FALSE,TRUE)</formula>
    </cfRule>
    <cfRule type="expression" dxfId="507" priority="85" stopIfTrue="1">
      <formula>IF(AND(IF(L251="",FALSE,TRUE),IF(M251="",FALSE,TRUE))=FALSE,TRUE,FALSE)</formula>
    </cfRule>
  </conditionalFormatting>
  <conditionalFormatting sqref="N283:N285">
    <cfRule type="expression" dxfId="506" priority="79" stopIfTrue="1">
      <formula>IF(AND(ISBLANK(N283),IF(L283&lt;TODAY(),TRUE,FALSE))=FALSE,FALSE,TRUE)</formula>
    </cfRule>
    <cfRule type="expression" dxfId="505" priority="80" stopIfTrue="1">
      <formula>IF(AND(IF(M283="",FALSE,TRUE),IF(N283="",FALSE,TRUE))=TRUE,TRUE,FALSE)</formula>
    </cfRule>
  </conditionalFormatting>
  <conditionalFormatting sqref="O283:O285">
    <cfRule type="expression" dxfId="504" priority="78" stopIfTrue="1">
      <formula>IF(OR(ISNUMBER(O283),ISBLANK(F283)),FALSE,TRUE)</formula>
    </cfRule>
  </conditionalFormatting>
  <conditionalFormatting sqref="L283:L285">
    <cfRule type="expression" dxfId="503" priority="75" stopIfTrue="1">
      <formula>IF(AND(IF(L283&lt;TODAY(),TRUE,FALSE),ISBLANK(N283)),TRUE,FALSE)</formula>
    </cfRule>
    <cfRule type="expression" dxfId="502" priority="76" stopIfTrue="1">
      <formula>IF(AND(IF(M283="",FALSE,TRUE),IF(N283="",FALSE,TRUE))=TRUE,TRUE,FALSE)</formula>
    </cfRule>
    <cfRule type="expression" dxfId="501" priority="77" stopIfTrue="1">
      <formula>IF(AND(IF(L283&lt;TODAY(),TRUE,FALSE),ISBLANK(M283)),TRUE,FALSE)</formula>
    </cfRule>
  </conditionalFormatting>
  <conditionalFormatting sqref="M283:M285">
    <cfRule type="expression" dxfId="500" priority="72" stopIfTrue="1">
      <formula>IF(AND(IF(M283="",FALSE,TRUE),IF(N283="",FALSE,TRUE))=TRUE,TRUE,FALSE)</formula>
    </cfRule>
    <cfRule type="expression" dxfId="499" priority="73" stopIfTrue="1">
      <formula>IF(AND(ISBLANK(M283),IF(L283&lt;TODAY(),TRUE,FALSE))=FALSE,FALSE,TRUE)</formula>
    </cfRule>
    <cfRule type="expression" dxfId="498" priority="74" stopIfTrue="1">
      <formula>IF(AND(IF(L283="",FALSE,TRUE),IF(M283="",FALSE,TRUE))=FALSE,TRUE,FALSE)</formula>
    </cfRule>
  </conditionalFormatting>
  <conditionalFormatting sqref="Q283:Q285">
    <cfRule type="cellIs" dxfId="497" priority="71" stopIfTrue="1" operator="greaterThan">
      <formula>0</formula>
    </cfRule>
  </conditionalFormatting>
  <conditionalFormatting sqref="N284:N285">
    <cfRule type="expression" dxfId="496" priority="69" stopIfTrue="1">
      <formula>IF(AND(ISBLANK(N284),IF(L284&lt;TODAY(),TRUE,FALSE))=FALSE,FALSE,TRUE)</formula>
    </cfRule>
    <cfRule type="expression" dxfId="495" priority="70" stopIfTrue="1">
      <formula>IF(AND(IF(M284="",FALSE,TRUE),IF(N284="",FALSE,TRUE))=TRUE,TRUE,FALSE)</formula>
    </cfRule>
  </conditionalFormatting>
  <conditionalFormatting sqref="O284:O285">
    <cfRule type="expression" dxfId="494" priority="68" stopIfTrue="1">
      <formula>IF(OR(ISNUMBER(O284),ISBLANK(F284)),FALSE,TRUE)</formula>
    </cfRule>
  </conditionalFormatting>
  <conditionalFormatting sqref="L284:L285">
    <cfRule type="expression" dxfId="493" priority="65" stopIfTrue="1">
      <formula>IF(AND(IF(L284&lt;TODAY(),TRUE,FALSE),ISBLANK(N284)),TRUE,FALSE)</formula>
    </cfRule>
    <cfRule type="expression" dxfId="492" priority="66" stopIfTrue="1">
      <formula>IF(AND(IF(M284="",FALSE,TRUE),IF(N284="",FALSE,TRUE))=TRUE,TRUE,FALSE)</formula>
    </cfRule>
    <cfRule type="expression" dxfId="491" priority="67" stopIfTrue="1">
      <formula>IF(AND(IF(L284&lt;TODAY(),TRUE,FALSE),ISBLANK(M284)),TRUE,FALSE)</formula>
    </cfRule>
  </conditionalFormatting>
  <conditionalFormatting sqref="M284:M285">
    <cfRule type="expression" dxfId="490" priority="62" stopIfTrue="1">
      <formula>IF(AND(IF(M284="",FALSE,TRUE),IF(N284="",FALSE,TRUE))=TRUE,TRUE,FALSE)</formula>
    </cfRule>
    <cfRule type="expression" dxfId="489" priority="63" stopIfTrue="1">
      <formula>IF(AND(ISBLANK(M284),IF(L284&lt;TODAY(),TRUE,FALSE))=FALSE,FALSE,TRUE)</formula>
    </cfRule>
    <cfRule type="expression" dxfId="488" priority="64" stopIfTrue="1">
      <formula>IF(AND(IF(L284="",FALSE,TRUE),IF(M284="",FALSE,TRUE))=FALSE,TRUE,FALSE)</formula>
    </cfRule>
  </conditionalFormatting>
  <conditionalFormatting sqref="Q284:Q285">
    <cfRule type="cellIs" dxfId="487" priority="61" stopIfTrue="1" operator="greaterThan">
      <formula>0</formula>
    </cfRule>
  </conditionalFormatting>
  <conditionalFormatting sqref="I284:I285">
    <cfRule type="cellIs" dxfId="486" priority="60" stopIfTrue="1" operator="greaterThan">
      <formula>0</formula>
    </cfRule>
  </conditionalFormatting>
  <conditionalFormatting sqref="I284:I285">
    <cfRule type="cellIs" dxfId="485" priority="59" stopIfTrue="1" operator="greaterThan">
      <formula>0</formula>
    </cfRule>
  </conditionalFormatting>
  <conditionalFormatting sqref="N285">
    <cfRule type="expression" dxfId="484" priority="57" stopIfTrue="1">
      <formula>IF(AND(ISBLANK(N285),IF(L285&lt;TODAY(),TRUE,FALSE))=FALSE,FALSE,TRUE)</formula>
    </cfRule>
    <cfRule type="expression" dxfId="483" priority="58" stopIfTrue="1">
      <formula>IF(AND(IF(M285="",FALSE,TRUE),IF(N285="",FALSE,TRUE))=TRUE,TRUE,FALSE)</formula>
    </cfRule>
  </conditionalFormatting>
  <conditionalFormatting sqref="O285">
    <cfRule type="expression" dxfId="482" priority="56" stopIfTrue="1">
      <formula>IF(OR(ISNUMBER(O285),ISBLANK(F285)),FALSE,TRUE)</formula>
    </cfRule>
  </conditionalFormatting>
  <conditionalFormatting sqref="L285">
    <cfRule type="expression" dxfId="481" priority="53" stopIfTrue="1">
      <formula>IF(AND(IF(L285&lt;TODAY(),TRUE,FALSE),ISBLANK(N285)),TRUE,FALSE)</formula>
    </cfRule>
    <cfRule type="expression" dxfId="480" priority="54" stopIfTrue="1">
      <formula>IF(AND(IF(M285="",FALSE,TRUE),IF(N285="",FALSE,TRUE))=TRUE,TRUE,FALSE)</formula>
    </cfRule>
    <cfRule type="expression" dxfId="479" priority="55" stopIfTrue="1">
      <formula>IF(AND(IF(L285&lt;TODAY(),TRUE,FALSE),ISBLANK(M285)),TRUE,FALSE)</formula>
    </cfRule>
  </conditionalFormatting>
  <conditionalFormatting sqref="M285">
    <cfRule type="expression" dxfId="478" priority="50" stopIfTrue="1">
      <formula>IF(AND(IF(M285="",FALSE,TRUE),IF(N285="",FALSE,TRUE))=TRUE,TRUE,FALSE)</formula>
    </cfRule>
    <cfRule type="expression" dxfId="477" priority="51" stopIfTrue="1">
      <formula>IF(AND(ISBLANK(M285),IF(L285&lt;TODAY(),TRUE,FALSE))=FALSE,FALSE,TRUE)</formula>
    </cfRule>
    <cfRule type="expression" dxfId="476" priority="52" stopIfTrue="1">
      <formula>IF(AND(IF(L285="",FALSE,TRUE),IF(M285="",FALSE,TRUE))=FALSE,TRUE,FALSE)</formula>
    </cfRule>
  </conditionalFormatting>
  <conditionalFormatting sqref="Q285">
    <cfRule type="cellIs" dxfId="475" priority="49" stopIfTrue="1" operator="greaterThan">
      <formula>0</formula>
    </cfRule>
  </conditionalFormatting>
  <conditionalFormatting sqref="I285">
    <cfRule type="cellIs" dxfId="474" priority="48" stopIfTrue="1" operator="greaterThan">
      <formula>0</formula>
    </cfRule>
  </conditionalFormatting>
  <conditionalFormatting sqref="N285">
    <cfRule type="expression" dxfId="473" priority="46" stopIfTrue="1">
      <formula>IF(AND(ISBLANK(N285),IF(L285&lt;TODAY(),TRUE,FALSE))=FALSE,FALSE,TRUE)</formula>
    </cfRule>
    <cfRule type="expression" dxfId="472" priority="47" stopIfTrue="1">
      <formula>IF(AND(IF(M285="",FALSE,TRUE),IF(N285="",FALSE,TRUE))=TRUE,TRUE,FALSE)</formula>
    </cfRule>
  </conditionalFormatting>
  <conditionalFormatting sqref="O285">
    <cfRule type="expression" dxfId="471" priority="45" stopIfTrue="1">
      <formula>IF(OR(ISNUMBER(O285),ISBLANK(F285)),FALSE,TRUE)</formula>
    </cfRule>
  </conditionalFormatting>
  <conditionalFormatting sqref="L285">
    <cfRule type="expression" dxfId="470" priority="42" stopIfTrue="1">
      <formula>IF(AND(IF(L285&lt;TODAY(),TRUE,FALSE),ISBLANK(N285)),TRUE,FALSE)</formula>
    </cfRule>
    <cfRule type="expression" dxfId="469" priority="43" stopIfTrue="1">
      <formula>IF(AND(IF(M285="",FALSE,TRUE),IF(N285="",FALSE,TRUE))=TRUE,TRUE,FALSE)</formula>
    </cfRule>
    <cfRule type="expression" dxfId="468" priority="44" stopIfTrue="1">
      <formula>IF(AND(IF(L285&lt;TODAY(),TRUE,FALSE),ISBLANK(M285)),TRUE,FALSE)</formula>
    </cfRule>
  </conditionalFormatting>
  <conditionalFormatting sqref="M285">
    <cfRule type="expression" dxfId="467" priority="39" stopIfTrue="1">
      <formula>IF(AND(IF(M285="",FALSE,TRUE),IF(N285="",FALSE,TRUE))=TRUE,TRUE,FALSE)</formula>
    </cfRule>
    <cfRule type="expression" dxfId="466" priority="40" stopIfTrue="1">
      <formula>IF(AND(ISBLANK(M285),IF(L285&lt;TODAY(),TRUE,FALSE))=FALSE,FALSE,TRUE)</formula>
    </cfRule>
    <cfRule type="expression" dxfId="465" priority="41" stopIfTrue="1">
      <formula>IF(AND(IF(L285="",FALSE,TRUE),IF(M285="",FALSE,TRUE))=FALSE,TRUE,FALSE)</formula>
    </cfRule>
  </conditionalFormatting>
  <conditionalFormatting sqref="Q285">
    <cfRule type="cellIs" dxfId="464" priority="38" stopIfTrue="1" operator="greaterThan">
      <formula>0</formula>
    </cfRule>
  </conditionalFormatting>
  <conditionalFormatting sqref="I285">
    <cfRule type="cellIs" dxfId="463" priority="37" stopIfTrue="1" operator="greaterThan">
      <formula>0</formula>
    </cfRule>
  </conditionalFormatting>
  <conditionalFormatting sqref="N285">
    <cfRule type="expression" dxfId="462" priority="35" stopIfTrue="1">
      <formula>IF(AND(ISBLANK(N285),IF(L285&lt;TODAY(),TRUE,FALSE))=FALSE,FALSE,TRUE)</formula>
    </cfRule>
    <cfRule type="expression" dxfId="461" priority="36" stopIfTrue="1">
      <formula>IF(AND(IF(M285="",FALSE,TRUE),IF(N285="",FALSE,TRUE))=TRUE,TRUE,FALSE)</formula>
    </cfRule>
  </conditionalFormatting>
  <conditionalFormatting sqref="O285">
    <cfRule type="expression" dxfId="460" priority="34" stopIfTrue="1">
      <formula>IF(OR(ISNUMBER(O285),ISBLANK(F285)),FALSE,TRUE)</formula>
    </cfRule>
  </conditionalFormatting>
  <conditionalFormatting sqref="L285">
    <cfRule type="expression" dxfId="459" priority="31" stopIfTrue="1">
      <formula>IF(AND(IF(L285&lt;TODAY(),TRUE,FALSE),ISBLANK(N285)),TRUE,FALSE)</formula>
    </cfRule>
    <cfRule type="expression" dxfId="458" priority="32" stopIfTrue="1">
      <formula>IF(AND(IF(M285="",FALSE,TRUE),IF(N285="",FALSE,TRUE))=TRUE,TRUE,FALSE)</formula>
    </cfRule>
    <cfRule type="expression" dxfId="457" priority="33" stopIfTrue="1">
      <formula>IF(AND(IF(L285&lt;TODAY(),TRUE,FALSE),ISBLANK(M285)),TRUE,FALSE)</formula>
    </cfRule>
  </conditionalFormatting>
  <conditionalFormatting sqref="M285">
    <cfRule type="expression" dxfId="456" priority="28" stopIfTrue="1">
      <formula>IF(AND(IF(M285="",FALSE,TRUE),IF(N285="",FALSE,TRUE))=TRUE,TRUE,FALSE)</formula>
    </cfRule>
    <cfRule type="expression" dxfId="455" priority="29" stopIfTrue="1">
      <formula>IF(AND(ISBLANK(M285),IF(L285&lt;TODAY(),TRUE,FALSE))=FALSE,FALSE,TRUE)</formula>
    </cfRule>
    <cfRule type="expression" dxfId="454" priority="30" stopIfTrue="1">
      <formula>IF(AND(IF(L285="",FALSE,TRUE),IF(M285="",FALSE,TRUE))=FALSE,TRUE,FALSE)</formula>
    </cfRule>
  </conditionalFormatting>
  <conditionalFormatting sqref="Q285">
    <cfRule type="cellIs" dxfId="453" priority="27" stopIfTrue="1" operator="greaterThan">
      <formula>0</formula>
    </cfRule>
  </conditionalFormatting>
  <conditionalFormatting sqref="N285">
    <cfRule type="expression" dxfId="452" priority="25" stopIfTrue="1">
      <formula>IF(AND(ISBLANK(N285),IF(L285&lt;TODAY(),TRUE,FALSE))=FALSE,FALSE,TRUE)</formula>
    </cfRule>
    <cfRule type="expression" dxfId="451" priority="26" stopIfTrue="1">
      <formula>IF(AND(IF(M285="",FALSE,TRUE),IF(N285="",FALSE,TRUE))=TRUE,TRUE,FALSE)</formula>
    </cfRule>
  </conditionalFormatting>
  <conditionalFormatting sqref="O285">
    <cfRule type="expression" dxfId="450" priority="24" stopIfTrue="1">
      <formula>IF(OR(ISNUMBER(O285),ISBLANK(F285)),FALSE,TRUE)</formula>
    </cfRule>
  </conditionalFormatting>
  <conditionalFormatting sqref="L285">
    <cfRule type="expression" dxfId="449" priority="21" stopIfTrue="1">
      <formula>IF(AND(IF(L285&lt;TODAY(),TRUE,FALSE),ISBLANK(N285)),TRUE,FALSE)</formula>
    </cfRule>
    <cfRule type="expression" dxfId="448" priority="22" stopIfTrue="1">
      <formula>IF(AND(IF(M285="",FALSE,TRUE),IF(N285="",FALSE,TRUE))=TRUE,TRUE,FALSE)</formula>
    </cfRule>
    <cfRule type="expression" dxfId="447" priority="23" stopIfTrue="1">
      <formula>IF(AND(IF(L285&lt;TODAY(),TRUE,FALSE),ISBLANK(M285)),TRUE,FALSE)</formula>
    </cfRule>
  </conditionalFormatting>
  <conditionalFormatting sqref="M285">
    <cfRule type="expression" dxfId="446" priority="18" stopIfTrue="1">
      <formula>IF(AND(IF(M285="",FALSE,TRUE),IF(N285="",FALSE,TRUE))=TRUE,TRUE,FALSE)</formula>
    </cfRule>
    <cfRule type="expression" dxfId="445" priority="19" stopIfTrue="1">
      <formula>IF(AND(ISBLANK(M285),IF(L285&lt;TODAY(),TRUE,FALSE))=FALSE,FALSE,TRUE)</formula>
    </cfRule>
    <cfRule type="expression" dxfId="444" priority="20" stopIfTrue="1">
      <formula>IF(AND(IF(L285="",FALSE,TRUE),IF(M285="",FALSE,TRUE))=FALSE,TRUE,FALSE)</formula>
    </cfRule>
  </conditionalFormatting>
  <conditionalFormatting sqref="Q285">
    <cfRule type="cellIs" dxfId="443" priority="17" stopIfTrue="1" operator="greaterThan">
      <formula>0</formula>
    </cfRule>
  </conditionalFormatting>
  <conditionalFormatting sqref="I285">
    <cfRule type="cellIs" dxfId="442" priority="16" stopIfTrue="1" operator="greaterThan">
      <formula>0</formula>
    </cfRule>
  </conditionalFormatting>
  <conditionalFormatting sqref="I285">
    <cfRule type="cellIs" dxfId="441" priority="15" stopIfTrue="1" operator="greaterThan">
      <formula>0</formula>
    </cfRule>
  </conditionalFormatting>
  <conditionalFormatting sqref="N285">
    <cfRule type="expression" dxfId="440" priority="13" stopIfTrue="1">
      <formula>IF(AND(ISBLANK(N285),IF(L285&lt;TODAY(),TRUE,FALSE))=FALSE,FALSE,TRUE)</formula>
    </cfRule>
    <cfRule type="expression" dxfId="439" priority="14" stopIfTrue="1">
      <formula>IF(AND(IF(M285="",FALSE,TRUE),IF(N285="",FALSE,TRUE))=TRUE,TRUE,FALSE)</formula>
    </cfRule>
  </conditionalFormatting>
  <conditionalFormatting sqref="O285">
    <cfRule type="expression" dxfId="438" priority="12" stopIfTrue="1">
      <formula>IF(OR(ISNUMBER(O285),ISBLANK(F285)),FALSE,TRUE)</formula>
    </cfRule>
  </conditionalFormatting>
  <conditionalFormatting sqref="L285">
    <cfRule type="expression" dxfId="437" priority="9" stopIfTrue="1">
      <formula>IF(AND(IF(L285&lt;TODAY(),TRUE,FALSE),ISBLANK(N285)),TRUE,FALSE)</formula>
    </cfRule>
    <cfRule type="expression" dxfId="436" priority="10" stopIfTrue="1">
      <formula>IF(AND(IF(M285="",FALSE,TRUE),IF(N285="",FALSE,TRUE))=TRUE,TRUE,FALSE)</formula>
    </cfRule>
    <cfRule type="expression" dxfId="435" priority="11" stopIfTrue="1">
      <formula>IF(AND(IF(L285&lt;TODAY(),TRUE,FALSE),ISBLANK(M285)),TRUE,FALSE)</formula>
    </cfRule>
  </conditionalFormatting>
  <conditionalFormatting sqref="M285">
    <cfRule type="expression" dxfId="434" priority="6" stopIfTrue="1">
      <formula>IF(AND(IF(M285="",FALSE,TRUE),IF(N285="",FALSE,TRUE))=TRUE,TRUE,FALSE)</formula>
    </cfRule>
    <cfRule type="expression" dxfId="433" priority="7" stopIfTrue="1">
      <formula>IF(AND(ISBLANK(M285),IF(L285&lt;TODAY(),TRUE,FALSE))=FALSE,FALSE,TRUE)</formula>
    </cfRule>
    <cfRule type="expression" dxfId="432" priority="8" stopIfTrue="1">
      <formula>IF(AND(IF(L285="",FALSE,TRUE),IF(M285="",FALSE,TRUE))=FALSE,TRUE,FALSE)</formula>
    </cfRule>
  </conditionalFormatting>
  <conditionalFormatting sqref="Q285">
    <cfRule type="cellIs" dxfId="431" priority="5" stopIfTrue="1" operator="greaterThan">
      <formula>0</formula>
    </cfRule>
  </conditionalFormatting>
  <conditionalFormatting sqref="I285">
    <cfRule type="cellIs" dxfId="430" priority="4" stopIfTrue="1" operator="greaterThan">
      <formula>0</formula>
    </cfRule>
  </conditionalFormatting>
  <conditionalFormatting sqref="I205">
    <cfRule type="cellIs" dxfId="429" priority="3" stopIfTrue="1" operator="greaterThan">
      <formula>0</formula>
    </cfRule>
  </conditionalFormatting>
  <conditionalFormatting sqref="I181:I184">
    <cfRule type="cellIs" dxfId="428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4" t="s">
        <v>836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76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 x14ac:dyDescent="0.2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 x14ac:dyDescent="0.2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 x14ac:dyDescent="0.2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 x14ac:dyDescent="0.2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 x14ac:dyDescent="0.2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 x14ac:dyDescent="0.2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 x14ac:dyDescent="0.2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 x14ac:dyDescent="0.2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 x14ac:dyDescent="0.2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 x14ac:dyDescent="0.2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 x14ac:dyDescent="0.2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 x14ac:dyDescent="0.2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 x14ac:dyDescent="0.2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 x14ac:dyDescent="0.2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 x14ac:dyDescent="0.2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 x14ac:dyDescent="0.2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 x14ac:dyDescent="0.2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 x14ac:dyDescent="0.2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 x14ac:dyDescent="0.2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 x14ac:dyDescent="0.2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 x14ac:dyDescent="0.2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 x14ac:dyDescent="0.2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 x14ac:dyDescent="0.2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 x14ac:dyDescent="0.2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 x14ac:dyDescent="0.2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 x14ac:dyDescent="0.2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 x14ac:dyDescent="0.2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 x14ac:dyDescent="0.2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 x14ac:dyDescent="0.2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 x14ac:dyDescent="0.2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 x14ac:dyDescent="0.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 x14ac:dyDescent="0.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 x14ac:dyDescent="0.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 x14ac:dyDescent="0.2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 x14ac:dyDescent="0.2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 x14ac:dyDescent="0.2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 x14ac:dyDescent="0.2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 x14ac:dyDescent="0.2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 x14ac:dyDescent="0.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 x14ac:dyDescent="0.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 x14ac:dyDescent="0.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 x14ac:dyDescent="0.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 x14ac:dyDescent="0.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 x14ac:dyDescent="0.2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 x14ac:dyDescent="0.2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x14ac:dyDescent="0.2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 x14ac:dyDescent="0.2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 x14ac:dyDescent="0.2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 x14ac:dyDescent="0.2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 x14ac:dyDescent="0.2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 x14ac:dyDescent="0.2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 x14ac:dyDescent="0.2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 x14ac:dyDescent="0.2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 x14ac:dyDescent="0.2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 x14ac:dyDescent="0.2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 x14ac:dyDescent="0.2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 x14ac:dyDescent="0.2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 x14ac:dyDescent="0.2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 x14ac:dyDescent="0.2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 x14ac:dyDescent="0.2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 x14ac:dyDescent="0.2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 x14ac:dyDescent="0.2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 x14ac:dyDescent="0.2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 x14ac:dyDescent="0.2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 x14ac:dyDescent="0.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 x14ac:dyDescent="0.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 x14ac:dyDescent="0.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 x14ac:dyDescent="0.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 x14ac:dyDescent="0.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 x14ac:dyDescent="0.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 x14ac:dyDescent="0.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 x14ac:dyDescent="0.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 x14ac:dyDescent="0.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 x14ac:dyDescent="0.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 x14ac:dyDescent="0.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 x14ac:dyDescent="0.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 x14ac:dyDescent="0.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 x14ac:dyDescent="0.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 x14ac:dyDescent="0.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 x14ac:dyDescent="0.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 x14ac:dyDescent="0.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 x14ac:dyDescent="0.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 x14ac:dyDescent="0.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 x14ac:dyDescent="0.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 x14ac:dyDescent="0.2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 x14ac:dyDescent="0.2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 x14ac:dyDescent="0.2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 x14ac:dyDescent="0.2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 x14ac:dyDescent="0.2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 x14ac:dyDescent="0.2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 x14ac:dyDescent="0.2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 x14ac:dyDescent="0.2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 x14ac:dyDescent="0.2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 x14ac:dyDescent="0.2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 x14ac:dyDescent="0.2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 x14ac:dyDescent="0.2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 x14ac:dyDescent="0.2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 x14ac:dyDescent="0.2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 x14ac:dyDescent="0.2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 x14ac:dyDescent="0.2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 x14ac:dyDescent="0.2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 x14ac:dyDescent="0.2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 x14ac:dyDescent="0.2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 x14ac:dyDescent="0.2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 x14ac:dyDescent="0.2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 x14ac:dyDescent="0.2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 x14ac:dyDescent="0.2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 x14ac:dyDescent="0.2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 x14ac:dyDescent="0.2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 x14ac:dyDescent="0.2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 x14ac:dyDescent="0.2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 x14ac:dyDescent="0.2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 x14ac:dyDescent="0.2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 x14ac:dyDescent="0.2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 x14ac:dyDescent="0.2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 x14ac:dyDescent="0.2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 x14ac:dyDescent="0.2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 x14ac:dyDescent="0.2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 x14ac:dyDescent="0.2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 x14ac:dyDescent="0.2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 x14ac:dyDescent="0.2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 x14ac:dyDescent="0.2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 x14ac:dyDescent="0.2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 x14ac:dyDescent="0.2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 x14ac:dyDescent="0.2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 x14ac:dyDescent="0.2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 x14ac:dyDescent="0.2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 x14ac:dyDescent="0.2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 x14ac:dyDescent="0.2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 x14ac:dyDescent="0.2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 x14ac:dyDescent="0.2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 x14ac:dyDescent="0.2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 x14ac:dyDescent="0.2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 x14ac:dyDescent="0.2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 x14ac:dyDescent="0.2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 x14ac:dyDescent="0.2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 x14ac:dyDescent="0.2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 x14ac:dyDescent="0.2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 x14ac:dyDescent="0.2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 x14ac:dyDescent="0.2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 x14ac:dyDescent="0.2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 x14ac:dyDescent="0.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 x14ac:dyDescent="0.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 x14ac:dyDescent="0.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 x14ac:dyDescent="0.2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 x14ac:dyDescent="0.2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 x14ac:dyDescent="0.2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 x14ac:dyDescent="0.2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 x14ac:dyDescent="0.2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 x14ac:dyDescent="0.2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 x14ac:dyDescent="0.2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 x14ac:dyDescent="0.2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 x14ac:dyDescent="0.2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 x14ac:dyDescent="0.2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 x14ac:dyDescent="0.2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 x14ac:dyDescent="0.2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 x14ac:dyDescent="0.2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 x14ac:dyDescent="0.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 x14ac:dyDescent="0.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 x14ac:dyDescent="0.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 x14ac:dyDescent="0.2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 x14ac:dyDescent="0.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 x14ac:dyDescent="0.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 x14ac:dyDescent="0.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 x14ac:dyDescent="0.2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 x14ac:dyDescent="0.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 x14ac:dyDescent="0.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 x14ac:dyDescent="0.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 x14ac:dyDescent="0.2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 x14ac:dyDescent="0.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 x14ac:dyDescent="0.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 x14ac:dyDescent="0.2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 x14ac:dyDescent="0.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 x14ac:dyDescent="0.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 x14ac:dyDescent="0.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 x14ac:dyDescent="0.2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 x14ac:dyDescent="0.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 x14ac:dyDescent="0.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 x14ac:dyDescent="0.2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 x14ac:dyDescent="0.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 x14ac:dyDescent="0.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 x14ac:dyDescent="0.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 x14ac:dyDescent="0.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 x14ac:dyDescent="0.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 x14ac:dyDescent="0.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 x14ac:dyDescent="0.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 x14ac:dyDescent="0.2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 x14ac:dyDescent="0.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 x14ac:dyDescent="0.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 x14ac:dyDescent="0.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 x14ac:dyDescent="0.2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 x14ac:dyDescent="0.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 x14ac:dyDescent="0.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 x14ac:dyDescent="0.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 x14ac:dyDescent="0.2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 x14ac:dyDescent="0.2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 x14ac:dyDescent="0.2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 x14ac:dyDescent="0.2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 x14ac:dyDescent="0.2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 x14ac:dyDescent="0.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 x14ac:dyDescent="0.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 x14ac:dyDescent="0.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 x14ac:dyDescent="0.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 x14ac:dyDescent="0.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 x14ac:dyDescent="0.2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 x14ac:dyDescent="0.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 x14ac:dyDescent="0.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 x14ac:dyDescent="0.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 x14ac:dyDescent="0.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 x14ac:dyDescent="0.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 x14ac:dyDescent="0.2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 x14ac:dyDescent="0.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 x14ac:dyDescent="0.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 x14ac:dyDescent="0.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 x14ac:dyDescent="0.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 x14ac:dyDescent="0.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 x14ac:dyDescent="0.2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 x14ac:dyDescent="0.2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 x14ac:dyDescent="0.2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 x14ac:dyDescent="0.2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 x14ac:dyDescent="0.2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 x14ac:dyDescent="0.2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 x14ac:dyDescent="0.2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 x14ac:dyDescent="0.2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 x14ac:dyDescent="0.2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 x14ac:dyDescent="0.2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 x14ac:dyDescent="0.2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 x14ac:dyDescent="0.2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 x14ac:dyDescent="0.2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 x14ac:dyDescent="0.2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 x14ac:dyDescent="0.2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 x14ac:dyDescent="0.2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 x14ac:dyDescent="0.2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 x14ac:dyDescent="0.2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 x14ac:dyDescent="0.2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 x14ac:dyDescent="0.2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 x14ac:dyDescent="0.2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 x14ac:dyDescent="0.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 x14ac:dyDescent="0.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 x14ac:dyDescent="0.2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 x14ac:dyDescent="0.2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 x14ac:dyDescent="0.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 x14ac:dyDescent="0.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 x14ac:dyDescent="0.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 x14ac:dyDescent="0.2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 x14ac:dyDescent="0.2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 x14ac:dyDescent="0.2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 x14ac:dyDescent="0.2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 x14ac:dyDescent="0.2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 x14ac:dyDescent="0.2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 x14ac:dyDescent="0.2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 x14ac:dyDescent="0.2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 x14ac:dyDescent="0.2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 x14ac:dyDescent="0.2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 x14ac:dyDescent="0.2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 x14ac:dyDescent="0.2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 x14ac:dyDescent="0.2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 x14ac:dyDescent="0.2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 x14ac:dyDescent="0.2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 x14ac:dyDescent="0.2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 x14ac:dyDescent="0.2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 x14ac:dyDescent="0.2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 x14ac:dyDescent="0.2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 x14ac:dyDescent="0.2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 x14ac:dyDescent="0.2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 x14ac:dyDescent="0.2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 x14ac:dyDescent="0.2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 x14ac:dyDescent="0.2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 x14ac:dyDescent="0.2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 x14ac:dyDescent="0.2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 x14ac:dyDescent="0.2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 x14ac:dyDescent="0.2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 x14ac:dyDescent="0.2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 x14ac:dyDescent="0.2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 x14ac:dyDescent="0.2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 x14ac:dyDescent="0.2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 x14ac:dyDescent="0.2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 x14ac:dyDescent="0.2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 x14ac:dyDescent="0.2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 x14ac:dyDescent="0.2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 x14ac:dyDescent="0.2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 x14ac:dyDescent="0.2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 x14ac:dyDescent="0.2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 x14ac:dyDescent="0.2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 x14ac:dyDescent="0.2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 x14ac:dyDescent="0.2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 x14ac:dyDescent="0.2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 x14ac:dyDescent="0.2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 x14ac:dyDescent="0.2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 x14ac:dyDescent="0.2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 x14ac:dyDescent="0.2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 x14ac:dyDescent="0.2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 x14ac:dyDescent="0.2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 x14ac:dyDescent="0.2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 x14ac:dyDescent="0.2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 x14ac:dyDescent="0.2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 x14ac:dyDescent="0.2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 x14ac:dyDescent="0.2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 x14ac:dyDescent="0.2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 x14ac:dyDescent="0.2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 x14ac:dyDescent="0.2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 x14ac:dyDescent="0.2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 x14ac:dyDescent="0.2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 x14ac:dyDescent="0.2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 x14ac:dyDescent="0.2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 x14ac:dyDescent="0.2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 x14ac:dyDescent="0.2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 x14ac:dyDescent="0.2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 x14ac:dyDescent="0.2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 x14ac:dyDescent="0.2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 x14ac:dyDescent="0.2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 x14ac:dyDescent="0.2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 x14ac:dyDescent="0.2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 x14ac:dyDescent="0.2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 x14ac:dyDescent="0.2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 x14ac:dyDescent="0.2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 x14ac:dyDescent="0.2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 x14ac:dyDescent="0.2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 x14ac:dyDescent="0.2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 x14ac:dyDescent="0.2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 x14ac:dyDescent="0.2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 x14ac:dyDescent="0.2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 x14ac:dyDescent="0.2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 x14ac:dyDescent="0.2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 x14ac:dyDescent="0.2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 x14ac:dyDescent="0.2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 x14ac:dyDescent="0.2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 x14ac:dyDescent="0.2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 x14ac:dyDescent="0.2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 x14ac:dyDescent="0.2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 x14ac:dyDescent="0.2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 x14ac:dyDescent="0.2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 x14ac:dyDescent="0.2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 x14ac:dyDescent="0.2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 x14ac:dyDescent="0.2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 x14ac:dyDescent="0.2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 x14ac:dyDescent="0.2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 x14ac:dyDescent="0.2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 x14ac:dyDescent="0.2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 x14ac:dyDescent="0.2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 x14ac:dyDescent="0.2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 x14ac:dyDescent="0.2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 x14ac:dyDescent="0.2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 x14ac:dyDescent="0.2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 x14ac:dyDescent="0.2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 x14ac:dyDescent="0.2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 x14ac:dyDescent="0.2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 x14ac:dyDescent="0.2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 x14ac:dyDescent="0.2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 x14ac:dyDescent="0.25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 x14ac:dyDescent="0.25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 x14ac:dyDescent="0.25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 x14ac:dyDescent="0.25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 x14ac:dyDescent="0.25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 x14ac:dyDescent="0.25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 x14ac:dyDescent="0.25">
      <c r="A410" s="77"/>
      <c r="B410" s="77"/>
      <c r="C410" s="263" t="s">
        <v>45</v>
      </c>
      <c r="D410" s="263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x14ac:dyDescent="0.2">
      <c r="A411" s="77"/>
      <c r="B411" s="77"/>
      <c r="C411" s="263"/>
      <c r="D411" s="263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x14ac:dyDescent="0.2">
      <c r="A412" s="77"/>
      <c r="B412" s="77"/>
      <c r="C412" s="263"/>
      <c r="D412" s="263"/>
      <c r="E412" s="83"/>
      <c r="F412" s="83"/>
      <c r="G412" s="264" t="s">
        <v>370</v>
      </c>
      <c r="H412" s="265"/>
      <c r="I412" s="265"/>
      <c r="J412" s="266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 x14ac:dyDescent="0.2">
      <c r="B413" s="77"/>
      <c r="C413" s="263"/>
      <c r="D413" s="263"/>
      <c r="E413" s="85"/>
      <c r="F413" s="85"/>
      <c r="G413" s="267"/>
      <c r="H413" s="268"/>
      <c r="I413" s="268"/>
      <c r="J413" s="269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 x14ac:dyDescent="0.2">
      <c r="B414" s="77"/>
      <c r="C414" s="263"/>
      <c r="D414" s="263"/>
      <c r="E414" s="89"/>
      <c r="F414" s="85"/>
      <c r="G414" s="267"/>
      <c r="H414" s="268"/>
      <c r="I414" s="268"/>
      <c r="J414" s="269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 x14ac:dyDescent="0.2">
      <c r="B415" s="77"/>
      <c r="D415" s="84"/>
      <c r="E415" s="85"/>
      <c r="F415" s="85"/>
      <c r="G415" s="267"/>
      <c r="H415" s="268"/>
      <c r="I415" s="268"/>
      <c r="J415" s="269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 x14ac:dyDescent="0.2">
      <c r="B416" s="77"/>
      <c r="D416" s="84"/>
      <c r="E416" s="85"/>
      <c r="F416" s="85"/>
      <c r="G416" s="267"/>
      <c r="H416" s="268"/>
      <c r="I416" s="268"/>
      <c r="J416" s="269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 x14ac:dyDescent="0.25">
      <c r="A417" s="175"/>
      <c r="B417" s="98"/>
      <c r="C417" s="98"/>
      <c r="D417" s="98"/>
      <c r="E417" s="99"/>
      <c r="F417" s="99"/>
      <c r="G417" s="267"/>
      <c r="H417" s="268"/>
      <c r="I417" s="268"/>
      <c r="J417" s="269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 x14ac:dyDescent="0.2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67"/>
      <c r="H418" s="268"/>
      <c r="I418" s="268"/>
      <c r="J418" s="269"/>
    </row>
    <row r="419" spans="1:31" x14ac:dyDescent="0.2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67"/>
      <c r="H419" s="268"/>
      <c r="I419" s="268"/>
      <c r="J419" s="269"/>
    </row>
    <row r="420" spans="1:31" x14ac:dyDescent="0.2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67"/>
      <c r="H420" s="268"/>
      <c r="I420" s="268"/>
      <c r="J420" s="269"/>
    </row>
    <row r="421" spans="1:31" x14ac:dyDescent="0.2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67"/>
      <c r="H421" s="268"/>
      <c r="I421" s="268"/>
      <c r="J421" s="269"/>
    </row>
    <row r="422" spans="1:31" x14ac:dyDescent="0.2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67"/>
      <c r="H422" s="268"/>
      <c r="I422" s="268"/>
      <c r="J422" s="269"/>
    </row>
    <row r="423" spans="1:31" x14ac:dyDescent="0.2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70"/>
      <c r="H423" s="271"/>
      <c r="I423" s="271"/>
      <c r="J423" s="272"/>
    </row>
    <row r="424" spans="1:31" x14ac:dyDescent="0.2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 x14ac:dyDescent="0.2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 x14ac:dyDescent="0.2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 x14ac:dyDescent="0.2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x14ac:dyDescent="0.2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 x14ac:dyDescent="0.25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 x14ac:dyDescent="0.25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x14ac:dyDescent="0.2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 x14ac:dyDescent="0.2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 x14ac:dyDescent="0.2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 x14ac:dyDescent="0.2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 x14ac:dyDescent="0.2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 x14ac:dyDescent="0.2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 x14ac:dyDescent="0.2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 x14ac:dyDescent="0.2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 x14ac:dyDescent="0.2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 x14ac:dyDescent="0.2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 x14ac:dyDescent="0.2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 x14ac:dyDescent="0.2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 x14ac:dyDescent="0.2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 x14ac:dyDescent="0.2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 x14ac:dyDescent="0.2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 x14ac:dyDescent="0.2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 x14ac:dyDescent="0.2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 x14ac:dyDescent="0.2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 x14ac:dyDescent="0.2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 x14ac:dyDescent="0.2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 x14ac:dyDescent="0.2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 x14ac:dyDescent="0.2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 x14ac:dyDescent="0.2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 x14ac:dyDescent="0.2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 x14ac:dyDescent="0.2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 x14ac:dyDescent="0.2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 x14ac:dyDescent="0.2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 x14ac:dyDescent="0.2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 x14ac:dyDescent="0.2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 x14ac:dyDescent="0.2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 x14ac:dyDescent="0.2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 x14ac:dyDescent="0.2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 x14ac:dyDescent="0.2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 x14ac:dyDescent="0.2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 x14ac:dyDescent="0.2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 x14ac:dyDescent="0.2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 x14ac:dyDescent="0.2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 x14ac:dyDescent="0.2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 x14ac:dyDescent="0.2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 x14ac:dyDescent="0.2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 x14ac:dyDescent="0.2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 x14ac:dyDescent="0.2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 x14ac:dyDescent="0.2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 x14ac:dyDescent="0.2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 x14ac:dyDescent="0.2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 x14ac:dyDescent="0.2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 x14ac:dyDescent="0.2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 x14ac:dyDescent="0.2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 x14ac:dyDescent="0.2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 x14ac:dyDescent="0.2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 x14ac:dyDescent="0.2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 x14ac:dyDescent="0.2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 x14ac:dyDescent="0.2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 x14ac:dyDescent="0.2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 x14ac:dyDescent="0.2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 x14ac:dyDescent="0.2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 x14ac:dyDescent="0.2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 x14ac:dyDescent="0.2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 x14ac:dyDescent="0.2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 x14ac:dyDescent="0.2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 x14ac:dyDescent="0.2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 x14ac:dyDescent="0.2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 x14ac:dyDescent="0.2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 x14ac:dyDescent="0.2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 x14ac:dyDescent="0.2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 x14ac:dyDescent="0.2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 x14ac:dyDescent="0.2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 x14ac:dyDescent="0.2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 x14ac:dyDescent="0.2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 x14ac:dyDescent="0.2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 x14ac:dyDescent="0.2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 x14ac:dyDescent="0.2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 x14ac:dyDescent="0.2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 x14ac:dyDescent="0.2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 x14ac:dyDescent="0.2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 x14ac:dyDescent="0.2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 x14ac:dyDescent="0.2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 x14ac:dyDescent="0.2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 x14ac:dyDescent="0.2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 x14ac:dyDescent="0.2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 x14ac:dyDescent="0.2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 x14ac:dyDescent="0.2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 x14ac:dyDescent="0.2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C410:D414"/>
    <mergeCell ref="G412:J423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0:N405">
    <cfRule type="expression" dxfId="427" priority="145" stopIfTrue="1">
      <formula>IF(AND(ISBLANK(N400),IF(L400&lt;TODAY(),TRUE,FALSE))=FALSE,FALSE,TRUE)</formula>
    </cfRule>
    <cfRule type="expression" dxfId="426" priority="146" stopIfTrue="1">
      <formula>IF(AND(IF(M400="",FALSE,TRUE),IF(N400="",FALSE,TRUE))=TRUE,TRUE,FALSE)</formula>
    </cfRule>
  </conditionalFormatting>
  <conditionalFormatting sqref="O400:O405">
    <cfRule type="expression" dxfId="425" priority="144" stopIfTrue="1">
      <formula>IF(OR(ISNUMBER(O400),ISBLANK(F400)),FALSE,TRUE)</formula>
    </cfRule>
  </conditionalFormatting>
  <conditionalFormatting sqref="L400:L405">
    <cfRule type="expression" dxfId="424" priority="141" stopIfTrue="1">
      <formula>IF(AND(IF(L400&lt;TODAY(),TRUE,FALSE),ISBLANK(N400)),TRUE,FALSE)</formula>
    </cfRule>
    <cfRule type="expression" dxfId="423" priority="142" stopIfTrue="1">
      <formula>IF(AND(IF(M400="",FALSE,TRUE),IF(N400="",FALSE,TRUE))=TRUE,TRUE,FALSE)</formula>
    </cfRule>
    <cfRule type="expression" dxfId="422" priority="143" stopIfTrue="1">
      <formula>IF(AND(IF(L400&lt;TODAY(),TRUE,FALSE),ISBLANK(M400)),TRUE,FALSE)</formula>
    </cfRule>
  </conditionalFormatting>
  <conditionalFormatting sqref="M400:M405">
    <cfRule type="expression" dxfId="421" priority="138" stopIfTrue="1">
      <formula>IF(AND(IF(M400="",FALSE,TRUE),IF(N400="",FALSE,TRUE))=TRUE,TRUE,FALSE)</formula>
    </cfRule>
    <cfRule type="expression" dxfId="420" priority="139" stopIfTrue="1">
      <formula>IF(AND(ISBLANK(M400),IF(L400&lt;TODAY(),TRUE,FALSE))=FALSE,FALSE,TRUE)</formula>
    </cfRule>
    <cfRule type="expression" dxfId="419" priority="140" stopIfTrue="1">
      <formula>IF(AND(IF(L400="",FALSE,TRUE),IF(M400="",FALSE,TRUE))=FALSE,TRUE,FALSE)</formula>
    </cfRule>
  </conditionalFormatting>
  <conditionalFormatting sqref="I404:I405 Q400:Q405">
    <cfRule type="cellIs" dxfId="418" priority="137" stopIfTrue="1" operator="greaterThan">
      <formula>0</formula>
    </cfRule>
  </conditionalFormatting>
  <conditionalFormatting sqref="P406:P407">
    <cfRule type="expression" dxfId="417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416" priority="135" stopIfTrue="1" operator="greaterThan">
      <formula>0</formula>
    </cfRule>
  </conditionalFormatting>
  <conditionalFormatting sqref="I305:I307">
    <cfRule type="cellIs" dxfId="415" priority="133" stopIfTrue="1" operator="greaterThan">
      <formula>0</formula>
    </cfRule>
  </conditionalFormatting>
  <conditionalFormatting sqref="I309:I323 I325 I327">
    <cfRule type="cellIs" dxfId="414" priority="132" stopIfTrue="1" operator="greaterThan">
      <formula>0</formula>
    </cfRule>
  </conditionalFormatting>
  <conditionalFormatting sqref="I357 I366:I372 I360:I364">
    <cfRule type="cellIs" dxfId="413" priority="131" stopIfTrue="1" operator="greaterThan">
      <formula>0</formula>
    </cfRule>
  </conditionalFormatting>
  <conditionalFormatting sqref="I365">
    <cfRule type="cellIs" dxfId="412" priority="126" stopIfTrue="1" operator="greaterThan">
      <formula>0</formula>
    </cfRule>
  </conditionalFormatting>
  <conditionalFormatting sqref="I358">
    <cfRule type="cellIs" dxfId="411" priority="125" stopIfTrue="1" operator="greaterThan">
      <formula>0</formula>
    </cfRule>
  </conditionalFormatting>
  <conditionalFormatting sqref="I359">
    <cfRule type="cellIs" dxfId="410" priority="124" stopIfTrue="1" operator="greaterThan">
      <formula>0</formula>
    </cfRule>
  </conditionalFormatting>
  <conditionalFormatting sqref="I383">
    <cfRule type="cellIs" dxfId="409" priority="122" stopIfTrue="1" operator="greaterThan">
      <formula>0</formula>
    </cfRule>
  </conditionalFormatting>
  <conditionalFormatting sqref="I377">
    <cfRule type="cellIs" dxfId="408" priority="121" stopIfTrue="1" operator="greaterThan">
      <formula>0</formula>
    </cfRule>
  </conditionalFormatting>
  <conditionalFormatting sqref="I324">
    <cfRule type="cellIs" dxfId="407" priority="119" stopIfTrue="1" operator="greaterThan">
      <formula>0</formula>
    </cfRule>
  </conditionalFormatting>
  <conditionalFormatting sqref="I326">
    <cfRule type="cellIs" dxfId="406" priority="118" stopIfTrue="1" operator="greaterThan">
      <formula>0</formula>
    </cfRule>
  </conditionalFormatting>
  <conditionalFormatting sqref="I331">
    <cfRule type="cellIs" dxfId="405" priority="117" stopIfTrue="1" operator="greaterThan">
      <formula>0</formula>
    </cfRule>
  </conditionalFormatting>
  <conditionalFormatting sqref="I329">
    <cfRule type="cellIs" dxfId="404" priority="116" stopIfTrue="1" operator="greaterThan">
      <formula>0</formula>
    </cfRule>
  </conditionalFormatting>
  <conditionalFormatting sqref="I351:I353">
    <cfRule type="cellIs" dxfId="403" priority="110" stopIfTrue="1" operator="greaterThan">
      <formula>0</formula>
    </cfRule>
  </conditionalFormatting>
  <conditionalFormatting sqref="I299:I302">
    <cfRule type="cellIs" dxfId="402" priority="109" stopIfTrue="1" operator="greaterThan">
      <formula>0</formula>
    </cfRule>
  </conditionalFormatting>
  <conditionalFormatting sqref="I393">
    <cfRule type="cellIs" dxfId="401" priority="87" stopIfTrue="1" operator="greaterThan">
      <formula>0</formula>
    </cfRule>
  </conditionalFormatting>
  <conditionalFormatting sqref="I394">
    <cfRule type="cellIs" dxfId="400" priority="76" stopIfTrue="1" operator="greaterThan">
      <formula>0</formula>
    </cfRule>
  </conditionalFormatting>
  <conditionalFormatting sqref="I395">
    <cfRule type="cellIs" dxfId="399" priority="75" stopIfTrue="1" operator="greaterThan">
      <formula>0</formula>
    </cfRule>
  </conditionalFormatting>
  <conditionalFormatting sqref="I396:I399">
    <cfRule type="cellIs" dxfId="398" priority="64" stopIfTrue="1" operator="greaterThan">
      <formula>0</formula>
    </cfRule>
  </conditionalFormatting>
  <conditionalFormatting sqref="N387:N392">
    <cfRule type="expression" dxfId="397" priority="98" stopIfTrue="1">
      <formula>IF(AND(ISBLANK(N387),IF(L387&lt;TODAY(),TRUE,FALSE))=FALSE,FALSE,TRUE)</formula>
    </cfRule>
    <cfRule type="expression" dxfId="396" priority="99" stopIfTrue="1">
      <formula>IF(AND(IF(M387="",FALSE,TRUE),IF(N387="",FALSE,TRUE))=TRUE,TRUE,FALSE)</formula>
    </cfRule>
  </conditionalFormatting>
  <conditionalFormatting sqref="O387:O392">
    <cfRule type="expression" dxfId="395" priority="100" stopIfTrue="1">
      <formula>IF(OR(ISNUMBER(O387),ISBLANK(F387)),FALSE,TRUE)</formula>
    </cfRule>
  </conditionalFormatting>
  <conditionalFormatting sqref="L387:L392">
    <cfRule type="expression" dxfId="394" priority="101" stopIfTrue="1">
      <formula>IF(AND(IF(L387&lt;TODAY(),TRUE,FALSE),ISBLANK(N387)),TRUE,FALSE)</formula>
    </cfRule>
    <cfRule type="expression" dxfId="393" priority="102" stopIfTrue="1">
      <formula>IF(AND(IF(M387="",FALSE,TRUE),IF(N387="",FALSE,TRUE))=TRUE,TRUE,FALSE)</formula>
    </cfRule>
    <cfRule type="expression" dxfId="392" priority="103" stopIfTrue="1">
      <formula>IF(AND(IF(L387&lt;TODAY(),TRUE,FALSE),ISBLANK(M387)),TRUE,FALSE)</formula>
    </cfRule>
  </conditionalFormatting>
  <conditionalFormatting sqref="M387:M392">
    <cfRule type="expression" dxfId="391" priority="104" stopIfTrue="1">
      <formula>IF(AND(IF(M387="",FALSE,TRUE),IF(N387="",FALSE,TRUE))=TRUE,TRUE,FALSE)</formula>
    </cfRule>
    <cfRule type="expression" dxfId="390" priority="105" stopIfTrue="1">
      <formula>IF(AND(ISBLANK(M387),IF(L387&lt;TODAY(),TRUE,FALSE))=FALSE,FALSE,TRUE)</formula>
    </cfRule>
    <cfRule type="expression" dxfId="389" priority="106" stopIfTrue="1">
      <formula>IF(AND(IF(L387="",FALSE,TRUE),IF(M387="",FALSE,TRUE))=FALSE,TRUE,FALSE)</formula>
    </cfRule>
  </conditionalFormatting>
  <conditionalFormatting sqref="Q387:Q392">
    <cfRule type="cellIs" dxfId="388" priority="107" stopIfTrue="1" operator="greaterThan">
      <formula>0</formula>
    </cfRule>
  </conditionalFormatting>
  <conditionalFormatting sqref="N393">
    <cfRule type="expression" dxfId="387" priority="96" stopIfTrue="1">
      <formula>IF(AND(ISBLANK(N393),IF(L393&lt;TODAY(),TRUE,FALSE))=FALSE,FALSE,TRUE)</formula>
    </cfRule>
    <cfRule type="expression" dxfId="386" priority="97" stopIfTrue="1">
      <formula>IF(AND(IF(M393="",FALSE,TRUE),IF(N393="",FALSE,TRUE))=TRUE,TRUE,FALSE)</formula>
    </cfRule>
  </conditionalFormatting>
  <conditionalFormatting sqref="O393">
    <cfRule type="expression" dxfId="385" priority="95" stopIfTrue="1">
      <formula>IF(OR(ISNUMBER(O393),ISBLANK(F393)),FALSE,TRUE)</formula>
    </cfRule>
  </conditionalFormatting>
  <conditionalFormatting sqref="L393">
    <cfRule type="expression" dxfId="384" priority="92" stopIfTrue="1">
      <formula>IF(AND(IF(L393&lt;TODAY(),TRUE,FALSE),ISBLANK(N393)),TRUE,FALSE)</formula>
    </cfRule>
    <cfRule type="expression" dxfId="383" priority="93" stopIfTrue="1">
      <formula>IF(AND(IF(M393="",FALSE,TRUE),IF(N393="",FALSE,TRUE))=TRUE,TRUE,FALSE)</formula>
    </cfRule>
    <cfRule type="expression" dxfId="382" priority="94" stopIfTrue="1">
      <formula>IF(AND(IF(L393&lt;TODAY(),TRUE,FALSE),ISBLANK(M393)),TRUE,FALSE)</formula>
    </cfRule>
  </conditionalFormatting>
  <conditionalFormatting sqref="M393">
    <cfRule type="expression" dxfId="381" priority="89" stopIfTrue="1">
      <formula>IF(AND(IF(M393="",FALSE,TRUE),IF(N393="",FALSE,TRUE))=TRUE,TRUE,FALSE)</formula>
    </cfRule>
    <cfRule type="expression" dxfId="380" priority="90" stopIfTrue="1">
      <formula>IF(AND(ISBLANK(M393),IF(L393&lt;TODAY(),TRUE,FALSE))=FALSE,FALSE,TRUE)</formula>
    </cfRule>
    <cfRule type="expression" dxfId="379" priority="91" stopIfTrue="1">
      <formula>IF(AND(IF(L393="",FALSE,TRUE),IF(M393="",FALSE,TRUE))=FALSE,TRUE,FALSE)</formula>
    </cfRule>
  </conditionalFormatting>
  <conditionalFormatting sqref="Q393">
    <cfRule type="cellIs" dxfId="378" priority="88" stopIfTrue="1" operator="greaterThan">
      <formula>0</formula>
    </cfRule>
  </conditionalFormatting>
  <conditionalFormatting sqref="N394:N395">
    <cfRule type="expression" dxfId="377" priority="85" stopIfTrue="1">
      <formula>IF(AND(ISBLANK(N394),IF(L394&lt;TODAY(),TRUE,FALSE))=FALSE,FALSE,TRUE)</formula>
    </cfRule>
    <cfRule type="expression" dxfId="376" priority="86" stopIfTrue="1">
      <formula>IF(AND(IF(M394="",FALSE,TRUE),IF(N394="",FALSE,TRUE))=TRUE,TRUE,FALSE)</formula>
    </cfRule>
  </conditionalFormatting>
  <conditionalFormatting sqref="O394:O395">
    <cfRule type="expression" dxfId="375" priority="84" stopIfTrue="1">
      <formula>IF(OR(ISNUMBER(O394),ISBLANK(F394)),FALSE,TRUE)</formula>
    </cfRule>
  </conditionalFormatting>
  <conditionalFormatting sqref="L394:L395">
    <cfRule type="expression" dxfId="374" priority="81" stopIfTrue="1">
      <formula>IF(AND(IF(L394&lt;TODAY(),TRUE,FALSE),ISBLANK(N394)),TRUE,FALSE)</formula>
    </cfRule>
    <cfRule type="expression" dxfId="373" priority="82" stopIfTrue="1">
      <formula>IF(AND(IF(M394="",FALSE,TRUE),IF(N394="",FALSE,TRUE))=TRUE,TRUE,FALSE)</formula>
    </cfRule>
    <cfRule type="expression" dxfId="372" priority="83" stopIfTrue="1">
      <formula>IF(AND(IF(L394&lt;TODAY(),TRUE,FALSE),ISBLANK(M394)),TRUE,FALSE)</formula>
    </cfRule>
  </conditionalFormatting>
  <conditionalFormatting sqref="M394:M395">
    <cfRule type="expression" dxfId="371" priority="78" stopIfTrue="1">
      <formula>IF(AND(IF(M394="",FALSE,TRUE),IF(N394="",FALSE,TRUE))=TRUE,TRUE,FALSE)</formula>
    </cfRule>
    <cfRule type="expression" dxfId="370" priority="79" stopIfTrue="1">
      <formula>IF(AND(ISBLANK(M394),IF(L394&lt;TODAY(),TRUE,FALSE))=FALSE,FALSE,TRUE)</formula>
    </cfRule>
    <cfRule type="expression" dxfId="369" priority="80" stopIfTrue="1">
      <formula>IF(AND(IF(L394="",FALSE,TRUE),IF(M394="",FALSE,TRUE))=FALSE,TRUE,FALSE)</formula>
    </cfRule>
  </conditionalFormatting>
  <conditionalFormatting sqref="Q394:Q395">
    <cfRule type="cellIs" dxfId="368" priority="77" stopIfTrue="1" operator="greaterThan">
      <formula>0</formula>
    </cfRule>
  </conditionalFormatting>
  <conditionalFormatting sqref="N396:N399">
    <cfRule type="expression" dxfId="367" priority="73" stopIfTrue="1">
      <formula>IF(AND(ISBLANK(N396),IF(L396&lt;TODAY(),TRUE,FALSE))=FALSE,FALSE,TRUE)</formula>
    </cfRule>
    <cfRule type="expression" dxfId="366" priority="74" stopIfTrue="1">
      <formula>IF(AND(IF(M396="",FALSE,TRUE),IF(N396="",FALSE,TRUE))=TRUE,TRUE,FALSE)</formula>
    </cfRule>
  </conditionalFormatting>
  <conditionalFormatting sqref="O396:O399">
    <cfRule type="expression" dxfId="365" priority="72" stopIfTrue="1">
      <formula>IF(OR(ISNUMBER(O396),ISBLANK(F396)),FALSE,TRUE)</formula>
    </cfRule>
  </conditionalFormatting>
  <conditionalFormatting sqref="L396:L399">
    <cfRule type="expression" dxfId="364" priority="69" stopIfTrue="1">
      <formula>IF(AND(IF(L396&lt;TODAY(),TRUE,FALSE),ISBLANK(N396)),TRUE,FALSE)</formula>
    </cfRule>
    <cfRule type="expression" dxfId="363" priority="70" stopIfTrue="1">
      <formula>IF(AND(IF(M396="",FALSE,TRUE),IF(N396="",FALSE,TRUE))=TRUE,TRUE,FALSE)</formula>
    </cfRule>
    <cfRule type="expression" dxfId="362" priority="71" stopIfTrue="1">
      <formula>IF(AND(IF(L396&lt;TODAY(),TRUE,FALSE),ISBLANK(M396)),TRUE,FALSE)</formula>
    </cfRule>
  </conditionalFormatting>
  <conditionalFormatting sqref="M396:M399">
    <cfRule type="expression" dxfId="361" priority="66" stopIfTrue="1">
      <formula>IF(AND(IF(M396="",FALSE,TRUE),IF(N396="",FALSE,TRUE))=TRUE,TRUE,FALSE)</formula>
    </cfRule>
    <cfRule type="expression" dxfId="360" priority="67" stopIfTrue="1">
      <formula>IF(AND(ISBLANK(M396),IF(L396&lt;TODAY(),TRUE,FALSE))=FALSE,FALSE,TRUE)</formula>
    </cfRule>
    <cfRule type="expression" dxfId="359" priority="68" stopIfTrue="1">
      <formula>IF(AND(IF(L396="",FALSE,TRUE),IF(M396="",FALSE,TRUE))=FALSE,TRUE,FALSE)</formula>
    </cfRule>
  </conditionalFormatting>
  <conditionalFormatting sqref="Q396:Q399">
    <cfRule type="cellIs" dxfId="358" priority="65" stopIfTrue="1" operator="greaterThan">
      <formula>0</formula>
    </cfRule>
  </conditionalFormatting>
  <conditionalFormatting sqref="I313">
    <cfRule type="cellIs" dxfId="357" priority="58" stopIfTrue="1" operator="greaterThan">
      <formula>0</formula>
    </cfRule>
  </conditionalFormatting>
  <conditionalFormatting sqref="I318">
    <cfRule type="cellIs" dxfId="356" priority="57" stopIfTrue="1" operator="greaterThan">
      <formula>0</formula>
    </cfRule>
  </conditionalFormatting>
  <conditionalFormatting sqref="I370">
    <cfRule type="cellIs" dxfId="355" priority="56" stopIfTrue="1" operator="greaterThan">
      <formula>0</formula>
    </cfRule>
  </conditionalFormatting>
  <conditionalFormatting sqref="N370">
    <cfRule type="expression" dxfId="354" priority="54" stopIfTrue="1">
      <formula>IF(AND(ISBLANK(N370),IF(L370&lt;TODAY(),TRUE,FALSE))=FALSE,FALSE,TRUE)</formula>
    </cfRule>
    <cfRule type="expression" dxfId="353" priority="55" stopIfTrue="1">
      <formula>IF(AND(IF(M370="",FALSE,TRUE),IF(N370="",FALSE,TRUE))=TRUE,TRUE,FALSE)</formula>
    </cfRule>
  </conditionalFormatting>
  <conditionalFormatting sqref="O370">
    <cfRule type="expression" dxfId="352" priority="53" stopIfTrue="1">
      <formula>IF(OR(ISNUMBER(O370),ISBLANK(F370)),FALSE,TRUE)</formula>
    </cfRule>
  </conditionalFormatting>
  <conditionalFormatting sqref="L370">
    <cfRule type="expression" dxfId="351" priority="50" stopIfTrue="1">
      <formula>IF(AND(IF(L370&lt;TODAY(),TRUE,FALSE),ISBLANK(N370)),TRUE,FALSE)</formula>
    </cfRule>
    <cfRule type="expression" dxfId="350" priority="51" stopIfTrue="1">
      <formula>IF(AND(IF(M370="",FALSE,TRUE),IF(N370="",FALSE,TRUE))=TRUE,TRUE,FALSE)</formula>
    </cfRule>
    <cfRule type="expression" dxfId="349" priority="52" stopIfTrue="1">
      <formula>IF(AND(IF(L370&lt;TODAY(),TRUE,FALSE),ISBLANK(M370)),TRUE,FALSE)</formula>
    </cfRule>
  </conditionalFormatting>
  <conditionalFormatting sqref="M370">
    <cfRule type="expression" dxfId="348" priority="47" stopIfTrue="1">
      <formula>IF(AND(IF(M370="",FALSE,TRUE),IF(N370="",FALSE,TRUE))=TRUE,TRUE,FALSE)</formula>
    </cfRule>
    <cfRule type="expression" dxfId="347" priority="48" stopIfTrue="1">
      <formula>IF(AND(ISBLANK(M370),IF(L370&lt;TODAY(),TRUE,FALSE))=FALSE,FALSE,TRUE)</formula>
    </cfRule>
    <cfRule type="expression" dxfId="346" priority="49" stopIfTrue="1">
      <formula>IF(AND(IF(L370="",FALSE,TRUE),IF(M370="",FALSE,TRUE))=FALSE,TRUE,FALSE)</formula>
    </cfRule>
  </conditionalFormatting>
  <conditionalFormatting sqref="Q370">
    <cfRule type="cellIs" dxfId="345" priority="46" stopIfTrue="1" operator="greaterThan">
      <formula>0</formula>
    </cfRule>
  </conditionalFormatting>
  <conditionalFormatting sqref="I370">
    <cfRule type="cellIs" dxfId="344" priority="45" stopIfTrue="1" operator="greaterThan">
      <formula>0</formula>
    </cfRule>
  </conditionalFormatting>
  <conditionalFormatting sqref="N401:N403">
    <cfRule type="expression" dxfId="343" priority="43" stopIfTrue="1">
      <formula>IF(AND(ISBLANK(N401),IF(L401&lt;TODAY(),TRUE,FALSE))=FALSE,FALSE,TRUE)</formula>
    </cfRule>
    <cfRule type="expression" dxfId="342" priority="44" stopIfTrue="1">
      <formula>IF(AND(IF(M401="",FALSE,TRUE),IF(N401="",FALSE,TRUE))=TRUE,TRUE,FALSE)</formula>
    </cfRule>
  </conditionalFormatting>
  <conditionalFormatting sqref="O401:O403">
    <cfRule type="expression" dxfId="341" priority="42" stopIfTrue="1">
      <formula>IF(OR(ISNUMBER(O401),ISBLANK(F401)),FALSE,TRUE)</formula>
    </cfRule>
  </conditionalFormatting>
  <conditionalFormatting sqref="L401:L403">
    <cfRule type="expression" dxfId="340" priority="39" stopIfTrue="1">
      <formula>IF(AND(IF(L401&lt;TODAY(),TRUE,FALSE),ISBLANK(N401)),TRUE,FALSE)</formula>
    </cfRule>
    <cfRule type="expression" dxfId="339" priority="40" stopIfTrue="1">
      <formula>IF(AND(IF(M401="",FALSE,TRUE),IF(N401="",FALSE,TRUE))=TRUE,TRUE,FALSE)</formula>
    </cfRule>
    <cfRule type="expression" dxfId="338" priority="41" stopIfTrue="1">
      <formula>IF(AND(IF(L401&lt;TODAY(),TRUE,FALSE),ISBLANK(M401)),TRUE,FALSE)</formula>
    </cfRule>
  </conditionalFormatting>
  <conditionalFormatting sqref="M401:M403">
    <cfRule type="expression" dxfId="337" priority="36" stopIfTrue="1">
      <formula>IF(AND(IF(M401="",FALSE,TRUE),IF(N401="",FALSE,TRUE))=TRUE,TRUE,FALSE)</formula>
    </cfRule>
    <cfRule type="expression" dxfId="336" priority="37" stopIfTrue="1">
      <formula>IF(AND(ISBLANK(M401),IF(L401&lt;TODAY(),TRUE,FALSE))=FALSE,FALSE,TRUE)</formula>
    </cfRule>
    <cfRule type="expression" dxfId="335" priority="38" stopIfTrue="1">
      <formula>IF(AND(IF(L401="",FALSE,TRUE),IF(M401="",FALSE,TRUE))=FALSE,TRUE,FALSE)</formula>
    </cfRule>
  </conditionalFormatting>
  <conditionalFormatting sqref="Q401:Q403">
    <cfRule type="cellIs" dxfId="334" priority="35" stopIfTrue="1" operator="greaterThan">
      <formula>0</formula>
    </cfRule>
  </conditionalFormatting>
  <conditionalFormatting sqref="I401:I403">
    <cfRule type="cellIs" dxfId="333" priority="34" stopIfTrue="1" operator="greaterThan">
      <formula>0</formula>
    </cfRule>
  </conditionalFormatting>
  <conditionalFormatting sqref="N401:N403">
    <cfRule type="expression" dxfId="332" priority="32" stopIfTrue="1">
      <formula>IF(AND(ISBLANK(N401),IF(L401&lt;TODAY(),TRUE,FALSE))=FALSE,FALSE,TRUE)</formula>
    </cfRule>
    <cfRule type="expression" dxfId="331" priority="33" stopIfTrue="1">
      <formula>IF(AND(IF(M401="",FALSE,TRUE),IF(N401="",FALSE,TRUE))=TRUE,TRUE,FALSE)</formula>
    </cfRule>
  </conditionalFormatting>
  <conditionalFormatting sqref="O401:O403">
    <cfRule type="expression" dxfId="330" priority="31" stopIfTrue="1">
      <formula>IF(OR(ISNUMBER(O401),ISBLANK(F401)),FALSE,TRUE)</formula>
    </cfRule>
  </conditionalFormatting>
  <conditionalFormatting sqref="L401:L403">
    <cfRule type="expression" dxfId="329" priority="28" stopIfTrue="1">
      <formula>IF(AND(IF(L401&lt;TODAY(),TRUE,FALSE),ISBLANK(N401)),TRUE,FALSE)</formula>
    </cfRule>
    <cfRule type="expression" dxfId="328" priority="29" stopIfTrue="1">
      <formula>IF(AND(IF(M401="",FALSE,TRUE),IF(N401="",FALSE,TRUE))=TRUE,TRUE,FALSE)</formula>
    </cfRule>
    <cfRule type="expression" dxfId="327" priority="30" stopIfTrue="1">
      <formula>IF(AND(IF(L401&lt;TODAY(),TRUE,FALSE),ISBLANK(M401)),TRUE,FALSE)</formula>
    </cfRule>
  </conditionalFormatting>
  <conditionalFormatting sqref="M401:M403">
    <cfRule type="expression" dxfId="326" priority="25" stopIfTrue="1">
      <formula>IF(AND(IF(M401="",FALSE,TRUE),IF(N401="",FALSE,TRUE))=TRUE,TRUE,FALSE)</formula>
    </cfRule>
    <cfRule type="expression" dxfId="325" priority="26" stopIfTrue="1">
      <formula>IF(AND(ISBLANK(M401),IF(L401&lt;TODAY(),TRUE,FALSE))=FALSE,FALSE,TRUE)</formula>
    </cfRule>
    <cfRule type="expression" dxfId="324" priority="27" stopIfTrue="1">
      <formula>IF(AND(IF(L401="",FALSE,TRUE),IF(M401="",FALSE,TRUE))=FALSE,TRUE,FALSE)</formula>
    </cfRule>
  </conditionalFormatting>
  <conditionalFormatting sqref="Q401:Q403">
    <cfRule type="cellIs" dxfId="323" priority="24" stopIfTrue="1" operator="greaterThan">
      <formula>0</formula>
    </cfRule>
  </conditionalFormatting>
  <conditionalFormatting sqref="N402:N403">
    <cfRule type="expression" dxfId="322" priority="22" stopIfTrue="1">
      <formula>IF(AND(ISBLANK(N402),IF(L402&lt;TODAY(),TRUE,FALSE))=FALSE,FALSE,TRUE)</formula>
    </cfRule>
    <cfRule type="expression" dxfId="321" priority="23" stopIfTrue="1">
      <formula>IF(AND(IF(M402="",FALSE,TRUE),IF(N402="",FALSE,TRUE))=TRUE,TRUE,FALSE)</formula>
    </cfRule>
  </conditionalFormatting>
  <conditionalFormatting sqref="O402:O403">
    <cfRule type="expression" dxfId="320" priority="21" stopIfTrue="1">
      <formula>IF(OR(ISNUMBER(O402),ISBLANK(F402)),FALSE,TRUE)</formula>
    </cfRule>
  </conditionalFormatting>
  <conditionalFormatting sqref="L402:L403">
    <cfRule type="expression" dxfId="319" priority="18" stopIfTrue="1">
      <formula>IF(AND(IF(L402&lt;TODAY(),TRUE,FALSE),ISBLANK(N402)),TRUE,FALSE)</formula>
    </cfRule>
    <cfRule type="expression" dxfId="318" priority="19" stopIfTrue="1">
      <formula>IF(AND(IF(M402="",FALSE,TRUE),IF(N402="",FALSE,TRUE))=TRUE,TRUE,FALSE)</formula>
    </cfRule>
    <cfRule type="expression" dxfId="317" priority="20" stopIfTrue="1">
      <formula>IF(AND(IF(L402&lt;TODAY(),TRUE,FALSE),ISBLANK(M402)),TRUE,FALSE)</formula>
    </cfRule>
  </conditionalFormatting>
  <conditionalFormatting sqref="M402:M403">
    <cfRule type="expression" dxfId="316" priority="15" stopIfTrue="1">
      <formula>IF(AND(IF(M402="",FALSE,TRUE),IF(N402="",FALSE,TRUE))=TRUE,TRUE,FALSE)</formula>
    </cfRule>
    <cfRule type="expression" dxfId="315" priority="16" stopIfTrue="1">
      <formula>IF(AND(ISBLANK(M402),IF(L402&lt;TODAY(),TRUE,FALSE))=FALSE,FALSE,TRUE)</formula>
    </cfRule>
    <cfRule type="expression" dxfId="314" priority="17" stopIfTrue="1">
      <formula>IF(AND(IF(L402="",FALSE,TRUE),IF(M402="",FALSE,TRUE))=FALSE,TRUE,FALSE)</formula>
    </cfRule>
  </conditionalFormatting>
  <conditionalFormatting sqref="Q402:Q403">
    <cfRule type="cellIs" dxfId="313" priority="14" stopIfTrue="1" operator="greaterThan">
      <formula>0</formula>
    </cfRule>
  </conditionalFormatting>
  <conditionalFormatting sqref="I402:I403">
    <cfRule type="cellIs" dxfId="312" priority="13" stopIfTrue="1" operator="greaterThan">
      <formula>0</formula>
    </cfRule>
  </conditionalFormatting>
  <conditionalFormatting sqref="I402:I403">
    <cfRule type="cellIs" dxfId="311" priority="12" stopIfTrue="1" operator="greaterThan">
      <formula>0</formula>
    </cfRule>
  </conditionalFormatting>
  <conditionalFormatting sqref="N403">
    <cfRule type="expression" dxfId="310" priority="10" stopIfTrue="1">
      <formula>IF(AND(ISBLANK(N403),IF(L403&lt;TODAY(),TRUE,FALSE))=FALSE,FALSE,TRUE)</formula>
    </cfRule>
    <cfRule type="expression" dxfId="309" priority="11" stopIfTrue="1">
      <formula>IF(AND(IF(M403="",FALSE,TRUE),IF(N403="",FALSE,TRUE))=TRUE,TRUE,FALSE)</formula>
    </cfRule>
  </conditionalFormatting>
  <conditionalFormatting sqref="O403">
    <cfRule type="expression" dxfId="308" priority="9" stopIfTrue="1">
      <formula>IF(OR(ISNUMBER(O403),ISBLANK(F403)),FALSE,TRUE)</formula>
    </cfRule>
  </conditionalFormatting>
  <conditionalFormatting sqref="L403">
    <cfRule type="expression" dxfId="307" priority="6" stopIfTrue="1">
      <formula>IF(AND(IF(L403&lt;TODAY(),TRUE,FALSE),ISBLANK(N403)),TRUE,FALSE)</formula>
    </cfRule>
    <cfRule type="expression" dxfId="306" priority="7" stopIfTrue="1">
      <formula>IF(AND(IF(M403="",FALSE,TRUE),IF(N403="",FALSE,TRUE))=TRUE,TRUE,FALSE)</formula>
    </cfRule>
    <cfRule type="expression" dxfId="305" priority="8" stopIfTrue="1">
      <formula>IF(AND(IF(L403&lt;TODAY(),TRUE,FALSE),ISBLANK(M403)),TRUE,FALSE)</formula>
    </cfRule>
  </conditionalFormatting>
  <conditionalFormatting sqref="M403">
    <cfRule type="expression" dxfId="304" priority="3" stopIfTrue="1">
      <formula>IF(AND(IF(M403="",FALSE,TRUE),IF(N403="",FALSE,TRUE))=TRUE,TRUE,FALSE)</formula>
    </cfRule>
    <cfRule type="expression" dxfId="303" priority="4" stopIfTrue="1">
      <formula>IF(AND(ISBLANK(M403),IF(L403&lt;TODAY(),TRUE,FALSE))=FALSE,FALSE,TRUE)</formula>
    </cfRule>
    <cfRule type="expression" dxfId="302" priority="5" stopIfTrue="1">
      <formula>IF(AND(IF(L403="",FALSE,TRUE),IF(M403="",FALSE,TRUE))=FALSE,TRUE,FALSE)</formula>
    </cfRule>
  </conditionalFormatting>
  <conditionalFormatting sqref="Q403">
    <cfRule type="cellIs" dxfId="301" priority="2" stopIfTrue="1" operator="greaterThan">
      <formula>0</formula>
    </cfRule>
  </conditionalFormatting>
  <conditionalFormatting sqref="I403">
    <cfRule type="cellIs" dxfId="300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tabColor indexed="10"/>
    <pageSetUpPr fitToPage="1"/>
  </sheetPr>
  <dimension ref="A1:CO518"/>
  <sheetViews>
    <sheetView zoomScaleNormal="100" workbookViewId="0">
      <pane ySplit="6" topLeftCell="A7" activePane="bottomLeft" state="frozen"/>
      <selection pane="bottomLeft" activeCell="D4" sqref="D4:F4"/>
    </sheetView>
  </sheetViews>
  <sheetFormatPr defaultColWidth="9.140625" defaultRowHeight="12.75" outlineLevelRow="2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4" t="s">
        <v>836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76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 x14ac:dyDescent="0.2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 x14ac:dyDescent="0.2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 x14ac:dyDescent="0.2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 x14ac:dyDescent="0.2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 x14ac:dyDescent="0.2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 x14ac:dyDescent="0.2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 x14ac:dyDescent="0.2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 x14ac:dyDescent="0.2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 x14ac:dyDescent="0.2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 x14ac:dyDescent="0.2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 x14ac:dyDescent="0.2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 x14ac:dyDescent="0.2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 x14ac:dyDescent="0.2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 x14ac:dyDescent="0.2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 x14ac:dyDescent="0.2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 x14ac:dyDescent="0.2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 x14ac:dyDescent="0.2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 x14ac:dyDescent="0.2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 x14ac:dyDescent="0.2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 x14ac:dyDescent="0.2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 x14ac:dyDescent="0.2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 x14ac:dyDescent="0.2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 x14ac:dyDescent="0.2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 x14ac:dyDescent="0.2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 x14ac:dyDescent="0.2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 x14ac:dyDescent="0.2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 x14ac:dyDescent="0.2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 x14ac:dyDescent="0.2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 x14ac:dyDescent="0.2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 x14ac:dyDescent="0.2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 x14ac:dyDescent="0.2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 x14ac:dyDescent="0.2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 x14ac:dyDescent="0.2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 x14ac:dyDescent="0.2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 x14ac:dyDescent="0.2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 x14ac:dyDescent="0.2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 x14ac:dyDescent="0.2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 x14ac:dyDescent="0.2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 x14ac:dyDescent="0.2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 x14ac:dyDescent="0.2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 x14ac:dyDescent="0.2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 x14ac:dyDescent="0.2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 x14ac:dyDescent="0.2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 x14ac:dyDescent="0.2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 x14ac:dyDescent="0.2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 x14ac:dyDescent="0.2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 x14ac:dyDescent="0.2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 x14ac:dyDescent="0.2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 x14ac:dyDescent="0.2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 x14ac:dyDescent="0.2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 x14ac:dyDescent="0.2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 x14ac:dyDescent="0.2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 x14ac:dyDescent="0.2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 x14ac:dyDescent="0.2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 x14ac:dyDescent="0.2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 x14ac:dyDescent="0.2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 x14ac:dyDescent="0.2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 x14ac:dyDescent="0.2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 x14ac:dyDescent="0.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 x14ac:dyDescent="0.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 x14ac:dyDescent="0.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 x14ac:dyDescent="0.2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 x14ac:dyDescent="0.2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 x14ac:dyDescent="0.2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 x14ac:dyDescent="0.2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 x14ac:dyDescent="0.2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 x14ac:dyDescent="0.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 x14ac:dyDescent="0.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 x14ac:dyDescent="0.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 x14ac:dyDescent="0.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 x14ac:dyDescent="0.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 x14ac:dyDescent="0.2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 x14ac:dyDescent="0.2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 x14ac:dyDescent="0.2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 x14ac:dyDescent="0.2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 x14ac:dyDescent="0.2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 x14ac:dyDescent="0.2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 x14ac:dyDescent="0.2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 x14ac:dyDescent="0.2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 x14ac:dyDescent="0.2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 x14ac:dyDescent="0.2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 x14ac:dyDescent="0.2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 x14ac:dyDescent="0.2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 x14ac:dyDescent="0.2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 x14ac:dyDescent="0.2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 x14ac:dyDescent="0.2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 x14ac:dyDescent="0.2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 x14ac:dyDescent="0.2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 x14ac:dyDescent="0.2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 x14ac:dyDescent="0.2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 x14ac:dyDescent="0.2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 x14ac:dyDescent="0.2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 x14ac:dyDescent="0.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 x14ac:dyDescent="0.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 x14ac:dyDescent="0.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 x14ac:dyDescent="0.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 x14ac:dyDescent="0.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 x14ac:dyDescent="0.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 x14ac:dyDescent="0.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 x14ac:dyDescent="0.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 x14ac:dyDescent="0.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 x14ac:dyDescent="0.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 x14ac:dyDescent="0.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 x14ac:dyDescent="0.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 x14ac:dyDescent="0.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 x14ac:dyDescent="0.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 x14ac:dyDescent="0.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 x14ac:dyDescent="0.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 x14ac:dyDescent="0.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 x14ac:dyDescent="0.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 x14ac:dyDescent="0.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 x14ac:dyDescent="0.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 x14ac:dyDescent="0.2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 x14ac:dyDescent="0.2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 x14ac:dyDescent="0.2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 x14ac:dyDescent="0.2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 x14ac:dyDescent="0.2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 x14ac:dyDescent="0.2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 x14ac:dyDescent="0.2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 x14ac:dyDescent="0.2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 x14ac:dyDescent="0.2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 x14ac:dyDescent="0.2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 x14ac:dyDescent="0.2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 x14ac:dyDescent="0.2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 x14ac:dyDescent="0.2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 x14ac:dyDescent="0.2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 x14ac:dyDescent="0.2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 x14ac:dyDescent="0.2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 x14ac:dyDescent="0.2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 x14ac:dyDescent="0.2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 x14ac:dyDescent="0.2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 x14ac:dyDescent="0.2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 x14ac:dyDescent="0.2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 x14ac:dyDescent="0.2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 x14ac:dyDescent="0.2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 x14ac:dyDescent="0.2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 x14ac:dyDescent="0.2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 x14ac:dyDescent="0.2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 x14ac:dyDescent="0.2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 x14ac:dyDescent="0.2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 x14ac:dyDescent="0.2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 x14ac:dyDescent="0.2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 x14ac:dyDescent="0.2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 x14ac:dyDescent="0.2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 x14ac:dyDescent="0.2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 x14ac:dyDescent="0.2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 x14ac:dyDescent="0.2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 x14ac:dyDescent="0.2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 x14ac:dyDescent="0.2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 x14ac:dyDescent="0.2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 x14ac:dyDescent="0.2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 x14ac:dyDescent="0.2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 x14ac:dyDescent="0.2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 x14ac:dyDescent="0.2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 x14ac:dyDescent="0.2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 x14ac:dyDescent="0.2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 x14ac:dyDescent="0.2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 x14ac:dyDescent="0.2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 x14ac:dyDescent="0.2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 x14ac:dyDescent="0.2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 x14ac:dyDescent="0.2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 x14ac:dyDescent="0.2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 x14ac:dyDescent="0.2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 x14ac:dyDescent="0.2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 x14ac:dyDescent="0.2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 x14ac:dyDescent="0.2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 x14ac:dyDescent="0.2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 x14ac:dyDescent="0.2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 x14ac:dyDescent="0.2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 x14ac:dyDescent="0.2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 x14ac:dyDescent="0.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 x14ac:dyDescent="0.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 x14ac:dyDescent="0.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 x14ac:dyDescent="0.2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 x14ac:dyDescent="0.2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 x14ac:dyDescent="0.2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 x14ac:dyDescent="0.2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 x14ac:dyDescent="0.2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 x14ac:dyDescent="0.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 x14ac:dyDescent="0.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 x14ac:dyDescent="0.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 x14ac:dyDescent="0.2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 x14ac:dyDescent="0.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 x14ac:dyDescent="0.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 x14ac:dyDescent="0.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 x14ac:dyDescent="0.2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 x14ac:dyDescent="0.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 x14ac:dyDescent="0.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 x14ac:dyDescent="0.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 x14ac:dyDescent="0.2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 x14ac:dyDescent="0.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 x14ac:dyDescent="0.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 x14ac:dyDescent="0.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 x14ac:dyDescent="0.2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 x14ac:dyDescent="0.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 x14ac:dyDescent="0.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 x14ac:dyDescent="0.2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 x14ac:dyDescent="0.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 x14ac:dyDescent="0.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 x14ac:dyDescent="0.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 x14ac:dyDescent="0.2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 x14ac:dyDescent="0.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 x14ac:dyDescent="0.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 x14ac:dyDescent="0.2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 x14ac:dyDescent="0.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 x14ac:dyDescent="0.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 x14ac:dyDescent="0.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 x14ac:dyDescent="0.2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 x14ac:dyDescent="0.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 x14ac:dyDescent="0.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 x14ac:dyDescent="0.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 x14ac:dyDescent="0.2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 x14ac:dyDescent="0.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 x14ac:dyDescent="0.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 x14ac:dyDescent="0.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 x14ac:dyDescent="0.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 x14ac:dyDescent="0.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 x14ac:dyDescent="0.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 x14ac:dyDescent="0.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 x14ac:dyDescent="0.2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 x14ac:dyDescent="0.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 x14ac:dyDescent="0.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 x14ac:dyDescent="0.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 x14ac:dyDescent="0.2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 x14ac:dyDescent="0.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 x14ac:dyDescent="0.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 x14ac:dyDescent="0.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 x14ac:dyDescent="0.2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 x14ac:dyDescent="0.2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 x14ac:dyDescent="0.2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 x14ac:dyDescent="0.2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 x14ac:dyDescent="0.2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 x14ac:dyDescent="0.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 x14ac:dyDescent="0.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 x14ac:dyDescent="0.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 x14ac:dyDescent="0.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 x14ac:dyDescent="0.2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 x14ac:dyDescent="0.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 x14ac:dyDescent="0.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 x14ac:dyDescent="0.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 x14ac:dyDescent="0.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 x14ac:dyDescent="0.2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 x14ac:dyDescent="0.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 x14ac:dyDescent="0.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 x14ac:dyDescent="0.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 x14ac:dyDescent="0.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 x14ac:dyDescent="0.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 x14ac:dyDescent="0.2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 x14ac:dyDescent="0.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 x14ac:dyDescent="0.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 x14ac:dyDescent="0.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 x14ac:dyDescent="0.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 x14ac:dyDescent="0.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 x14ac:dyDescent="0.2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 x14ac:dyDescent="0.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 x14ac:dyDescent="0.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 x14ac:dyDescent="0.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 x14ac:dyDescent="0.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 x14ac:dyDescent="0.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 x14ac:dyDescent="0.2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 x14ac:dyDescent="0.2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 x14ac:dyDescent="0.2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 x14ac:dyDescent="0.2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 x14ac:dyDescent="0.2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 x14ac:dyDescent="0.2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 x14ac:dyDescent="0.2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 x14ac:dyDescent="0.2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 x14ac:dyDescent="0.2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 x14ac:dyDescent="0.2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 x14ac:dyDescent="0.2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 x14ac:dyDescent="0.2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 x14ac:dyDescent="0.2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 x14ac:dyDescent="0.2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 x14ac:dyDescent="0.2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 x14ac:dyDescent="0.2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 x14ac:dyDescent="0.2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 x14ac:dyDescent="0.2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 x14ac:dyDescent="0.2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 x14ac:dyDescent="0.2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 x14ac:dyDescent="0.2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 x14ac:dyDescent="0.2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 x14ac:dyDescent="0.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 x14ac:dyDescent="0.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 x14ac:dyDescent="0.2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 x14ac:dyDescent="0.2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 x14ac:dyDescent="0.2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 x14ac:dyDescent="0.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 x14ac:dyDescent="0.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 x14ac:dyDescent="0.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 x14ac:dyDescent="0.2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 x14ac:dyDescent="0.2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 x14ac:dyDescent="0.2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 x14ac:dyDescent="0.2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 x14ac:dyDescent="0.2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 x14ac:dyDescent="0.2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 x14ac:dyDescent="0.2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 x14ac:dyDescent="0.2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 x14ac:dyDescent="0.2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 x14ac:dyDescent="0.2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 x14ac:dyDescent="0.2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 x14ac:dyDescent="0.2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 x14ac:dyDescent="0.2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 x14ac:dyDescent="0.2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 x14ac:dyDescent="0.2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 x14ac:dyDescent="0.2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 x14ac:dyDescent="0.2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 x14ac:dyDescent="0.2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 x14ac:dyDescent="0.2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 x14ac:dyDescent="0.2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 x14ac:dyDescent="0.2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 x14ac:dyDescent="0.2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 x14ac:dyDescent="0.2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 x14ac:dyDescent="0.2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 x14ac:dyDescent="0.2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 x14ac:dyDescent="0.2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 x14ac:dyDescent="0.2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 x14ac:dyDescent="0.2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 x14ac:dyDescent="0.2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 x14ac:dyDescent="0.2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 x14ac:dyDescent="0.2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 x14ac:dyDescent="0.2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 x14ac:dyDescent="0.2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 x14ac:dyDescent="0.2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 x14ac:dyDescent="0.2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 x14ac:dyDescent="0.2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 x14ac:dyDescent="0.2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 x14ac:dyDescent="0.2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 x14ac:dyDescent="0.2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 x14ac:dyDescent="0.2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 x14ac:dyDescent="0.2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 x14ac:dyDescent="0.2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 x14ac:dyDescent="0.2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 x14ac:dyDescent="0.2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 x14ac:dyDescent="0.2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 x14ac:dyDescent="0.2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 x14ac:dyDescent="0.2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 x14ac:dyDescent="0.2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 x14ac:dyDescent="0.2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 x14ac:dyDescent="0.2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 x14ac:dyDescent="0.2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 x14ac:dyDescent="0.2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 x14ac:dyDescent="0.2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 x14ac:dyDescent="0.2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 x14ac:dyDescent="0.2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 x14ac:dyDescent="0.2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 x14ac:dyDescent="0.2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 x14ac:dyDescent="0.2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 x14ac:dyDescent="0.2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 x14ac:dyDescent="0.2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 x14ac:dyDescent="0.2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 x14ac:dyDescent="0.2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 x14ac:dyDescent="0.2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 x14ac:dyDescent="0.2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 x14ac:dyDescent="0.2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 x14ac:dyDescent="0.2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 x14ac:dyDescent="0.2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 x14ac:dyDescent="0.2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 x14ac:dyDescent="0.2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 x14ac:dyDescent="0.2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 x14ac:dyDescent="0.2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 x14ac:dyDescent="0.2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 x14ac:dyDescent="0.2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 x14ac:dyDescent="0.2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 x14ac:dyDescent="0.2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 x14ac:dyDescent="0.2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 x14ac:dyDescent="0.2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 x14ac:dyDescent="0.2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 x14ac:dyDescent="0.2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 x14ac:dyDescent="0.2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 x14ac:dyDescent="0.2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 x14ac:dyDescent="0.2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 x14ac:dyDescent="0.2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 x14ac:dyDescent="0.2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 x14ac:dyDescent="0.2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 x14ac:dyDescent="0.2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 x14ac:dyDescent="0.2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 x14ac:dyDescent="0.2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 x14ac:dyDescent="0.2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 x14ac:dyDescent="0.2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 x14ac:dyDescent="0.2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 x14ac:dyDescent="0.2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 x14ac:dyDescent="0.2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 x14ac:dyDescent="0.2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 x14ac:dyDescent="0.2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 x14ac:dyDescent="0.2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 x14ac:dyDescent="0.2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 x14ac:dyDescent="0.2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 x14ac:dyDescent="0.2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 x14ac:dyDescent="0.2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 x14ac:dyDescent="0.2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 x14ac:dyDescent="0.2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 x14ac:dyDescent="0.25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 x14ac:dyDescent="0.25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 x14ac:dyDescent="0.25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 x14ac:dyDescent="0.25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 x14ac:dyDescent="0.25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 x14ac:dyDescent="0.25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 x14ac:dyDescent="0.25">
      <c r="A413" s="77"/>
      <c r="B413" s="77"/>
      <c r="C413" s="263" t="s">
        <v>45</v>
      </c>
      <c r="D413" s="263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 x14ac:dyDescent="0.2">
      <c r="A414" s="77"/>
      <c r="B414" s="77"/>
      <c r="C414" s="263"/>
      <c r="D414" s="263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 x14ac:dyDescent="0.2">
      <c r="A415" s="77"/>
      <c r="B415" s="77"/>
      <c r="C415" s="263"/>
      <c r="D415" s="263"/>
      <c r="E415" s="83"/>
      <c r="F415" s="83"/>
      <c r="G415" s="264" t="s">
        <v>370</v>
      </c>
      <c r="H415" s="265"/>
      <c r="I415" s="265"/>
      <c r="J415" s="266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 x14ac:dyDescent="0.2">
      <c r="B416" s="77"/>
      <c r="C416" s="263"/>
      <c r="D416" s="263"/>
      <c r="E416" s="85"/>
      <c r="F416" s="85"/>
      <c r="G416" s="267"/>
      <c r="H416" s="268"/>
      <c r="I416" s="268"/>
      <c r="J416" s="269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x14ac:dyDescent="0.2">
      <c r="B417" s="77"/>
      <c r="C417" s="263"/>
      <c r="D417" s="263"/>
      <c r="E417" s="89"/>
      <c r="F417" s="85"/>
      <c r="G417" s="267"/>
      <c r="H417" s="268"/>
      <c r="I417" s="268"/>
      <c r="J417" s="269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 x14ac:dyDescent="0.2">
      <c r="B418" s="77"/>
      <c r="D418" s="84"/>
      <c r="E418" s="85"/>
      <c r="F418" s="85"/>
      <c r="G418" s="267"/>
      <c r="H418" s="268"/>
      <c r="I418" s="268"/>
      <c r="J418" s="269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 x14ac:dyDescent="0.2">
      <c r="B419" s="77"/>
      <c r="D419" s="84"/>
      <c r="E419" s="85"/>
      <c r="F419" s="85"/>
      <c r="G419" s="267"/>
      <c r="H419" s="268"/>
      <c r="I419" s="268"/>
      <c r="J419" s="269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 x14ac:dyDescent="0.25">
      <c r="A420" s="175"/>
      <c r="B420" s="98"/>
      <c r="C420" s="98"/>
      <c r="D420" s="98"/>
      <c r="E420" s="99"/>
      <c r="F420" s="99"/>
      <c r="G420" s="267"/>
      <c r="H420" s="268"/>
      <c r="I420" s="268"/>
      <c r="J420" s="269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 x14ac:dyDescent="0.2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67"/>
      <c r="H421" s="268"/>
      <c r="I421" s="268"/>
      <c r="J421" s="269"/>
    </row>
    <row r="422" spans="1:31" x14ac:dyDescent="0.2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67"/>
      <c r="H422" s="268"/>
      <c r="I422" s="268"/>
      <c r="J422" s="269"/>
    </row>
    <row r="423" spans="1:31" x14ac:dyDescent="0.2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67"/>
      <c r="H423" s="268"/>
      <c r="I423" s="268"/>
      <c r="J423" s="269"/>
    </row>
    <row r="424" spans="1:31" x14ac:dyDescent="0.2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67"/>
      <c r="H424" s="268"/>
      <c r="I424" s="268"/>
      <c r="J424" s="269"/>
    </row>
    <row r="425" spans="1:31" x14ac:dyDescent="0.2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67"/>
      <c r="H425" s="268"/>
      <c r="I425" s="268"/>
      <c r="J425" s="269"/>
    </row>
    <row r="426" spans="1:31" x14ac:dyDescent="0.2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70"/>
      <c r="H426" s="271"/>
      <c r="I426" s="271"/>
      <c r="J426" s="272"/>
    </row>
    <row r="427" spans="1:31" x14ac:dyDescent="0.2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 x14ac:dyDescent="0.2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 x14ac:dyDescent="0.2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x14ac:dyDescent="0.2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2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 x14ac:dyDescent="0.25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 x14ac:dyDescent="0.25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 x14ac:dyDescent="0.2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x14ac:dyDescent="0.2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x14ac:dyDescent="0.2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x14ac:dyDescent="0.2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x14ac:dyDescent="0.2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x14ac:dyDescent="0.2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x14ac:dyDescent="0.2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 x14ac:dyDescent="0.2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x14ac:dyDescent="0.2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x14ac:dyDescent="0.2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x14ac:dyDescent="0.2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x14ac:dyDescent="0.2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x14ac:dyDescent="0.2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x14ac:dyDescent="0.2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x14ac:dyDescent="0.2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 x14ac:dyDescent="0.2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 x14ac:dyDescent="0.2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 x14ac:dyDescent="0.2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 x14ac:dyDescent="0.2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 x14ac:dyDescent="0.2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 x14ac:dyDescent="0.2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 x14ac:dyDescent="0.2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 x14ac:dyDescent="0.2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 x14ac:dyDescent="0.2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 x14ac:dyDescent="0.2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 x14ac:dyDescent="0.2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 x14ac:dyDescent="0.2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 x14ac:dyDescent="0.2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 x14ac:dyDescent="0.2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 x14ac:dyDescent="0.2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 x14ac:dyDescent="0.2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 x14ac:dyDescent="0.2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 x14ac:dyDescent="0.2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 x14ac:dyDescent="0.2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 x14ac:dyDescent="0.2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 x14ac:dyDescent="0.2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 x14ac:dyDescent="0.2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 x14ac:dyDescent="0.2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 x14ac:dyDescent="0.2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 x14ac:dyDescent="0.2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 x14ac:dyDescent="0.2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 x14ac:dyDescent="0.2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 x14ac:dyDescent="0.2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 x14ac:dyDescent="0.2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 x14ac:dyDescent="0.2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 x14ac:dyDescent="0.2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 x14ac:dyDescent="0.2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 x14ac:dyDescent="0.2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 x14ac:dyDescent="0.2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 x14ac:dyDescent="0.2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 x14ac:dyDescent="0.2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 x14ac:dyDescent="0.2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 x14ac:dyDescent="0.2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 x14ac:dyDescent="0.2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 x14ac:dyDescent="0.2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 x14ac:dyDescent="0.2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 x14ac:dyDescent="0.2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 x14ac:dyDescent="0.2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 x14ac:dyDescent="0.2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 x14ac:dyDescent="0.2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 x14ac:dyDescent="0.2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 x14ac:dyDescent="0.2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 x14ac:dyDescent="0.2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 x14ac:dyDescent="0.2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 x14ac:dyDescent="0.2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 x14ac:dyDescent="0.2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 x14ac:dyDescent="0.2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 x14ac:dyDescent="0.2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 x14ac:dyDescent="0.2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 x14ac:dyDescent="0.2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 x14ac:dyDescent="0.2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 x14ac:dyDescent="0.2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 x14ac:dyDescent="0.2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 x14ac:dyDescent="0.2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 x14ac:dyDescent="0.2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 x14ac:dyDescent="0.2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 x14ac:dyDescent="0.2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 x14ac:dyDescent="0.2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 x14ac:dyDescent="0.2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 x14ac:dyDescent="0.2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 x14ac:dyDescent="0.2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 x14ac:dyDescent="0.2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 x14ac:dyDescent="0.2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 x14ac:dyDescent="0.2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Q4:R4"/>
    <mergeCell ref="C5:D5"/>
    <mergeCell ref="F5:G5"/>
    <mergeCell ref="K5:L5"/>
    <mergeCell ref="O5:P5"/>
    <mergeCell ref="C413:D417"/>
    <mergeCell ref="G415:J426"/>
    <mergeCell ref="G1:H1"/>
    <mergeCell ref="G2:I2"/>
    <mergeCell ref="D4:F4"/>
  </mergeCells>
  <conditionalFormatting sqref="N403:N408">
    <cfRule type="expression" dxfId="299" priority="458" stopIfTrue="1">
      <formula>IF(AND(ISBLANK(N403),IF(L403&lt;TODAY(),TRUE,FALSE))=FALSE,FALSE,TRUE)</formula>
    </cfRule>
    <cfRule type="expression" dxfId="298" priority="459" stopIfTrue="1">
      <formula>IF(AND(IF(M403="",FALSE,TRUE),IF(N403="",FALSE,TRUE))=TRUE,TRUE,FALSE)</formula>
    </cfRule>
  </conditionalFormatting>
  <conditionalFormatting sqref="O403:O408">
    <cfRule type="expression" dxfId="297" priority="457" stopIfTrue="1">
      <formula>IF(OR(ISNUMBER(O403),ISBLANK(F403)),FALSE,TRUE)</formula>
    </cfRule>
  </conditionalFormatting>
  <conditionalFormatting sqref="L403:L408">
    <cfRule type="expression" dxfId="296" priority="454" stopIfTrue="1">
      <formula>IF(AND(IF(L403&lt;TODAY(),TRUE,FALSE),ISBLANK(N403)),TRUE,FALSE)</formula>
    </cfRule>
    <cfRule type="expression" dxfId="295" priority="455" stopIfTrue="1">
      <formula>IF(AND(IF(M403="",FALSE,TRUE),IF(N403="",FALSE,TRUE))=TRUE,TRUE,FALSE)</formula>
    </cfRule>
    <cfRule type="expression" dxfId="294" priority="456" stopIfTrue="1">
      <formula>IF(AND(IF(L403&lt;TODAY(),TRUE,FALSE),ISBLANK(M403)),TRUE,FALSE)</formula>
    </cfRule>
  </conditionalFormatting>
  <conditionalFormatting sqref="M403:M408">
    <cfRule type="expression" dxfId="293" priority="451" stopIfTrue="1">
      <formula>IF(AND(IF(M403="",FALSE,TRUE),IF(N403="",FALSE,TRUE))=TRUE,TRUE,FALSE)</formula>
    </cfRule>
    <cfRule type="expression" dxfId="292" priority="452" stopIfTrue="1">
      <formula>IF(AND(ISBLANK(M403),IF(L403&lt;TODAY(),TRUE,FALSE))=FALSE,FALSE,TRUE)</formula>
    </cfRule>
    <cfRule type="expression" dxfId="291" priority="453" stopIfTrue="1">
      <formula>IF(AND(IF(L403="",FALSE,TRUE),IF(M403="",FALSE,TRUE))=FALSE,TRUE,FALSE)</formula>
    </cfRule>
  </conditionalFormatting>
  <conditionalFormatting sqref="I407:I408 Q403:Q408">
    <cfRule type="cellIs" dxfId="290" priority="450" stopIfTrue="1" operator="greaterThan">
      <formula>0</formula>
    </cfRule>
  </conditionalFormatting>
  <conditionalFormatting sqref="P409:P410">
    <cfRule type="expression" dxfId="289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288" priority="386" stopIfTrue="1" operator="greaterThan">
      <formula>0</formula>
    </cfRule>
  </conditionalFormatting>
  <conditionalFormatting sqref="I311:I313">
    <cfRule type="cellIs" dxfId="287" priority="384" stopIfTrue="1" operator="greaterThan">
      <formula>0</formula>
    </cfRule>
  </conditionalFormatting>
  <conditionalFormatting sqref="I330 I332 I315:I328">
    <cfRule type="cellIs" dxfId="286" priority="383" stopIfTrue="1" operator="greaterThan">
      <formula>0</formula>
    </cfRule>
  </conditionalFormatting>
  <conditionalFormatting sqref="I360 I369:I375 I363:I367">
    <cfRule type="cellIs" dxfId="285" priority="382" stopIfTrue="1" operator="greaterThan">
      <formula>0</formula>
    </cfRule>
  </conditionalFormatting>
  <conditionalFormatting sqref="I368">
    <cfRule type="cellIs" dxfId="284" priority="377" stopIfTrue="1" operator="greaterThan">
      <formula>0</formula>
    </cfRule>
  </conditionalFormatting>
  <conditionalFormatting sqref="I361">
    <cfRule type="cellIs" dxfId="283" priority="376" stopIfTrue="1" operator="greaterThan">
      <formula>0</formula>
    </cfRule>
  </conditionalFormatting>
  <conditionalFormatting sqref="I362">
    <cfRule type="cellIs" dxfId="282" priority="375" stopIfTrue="1" operator="greaterThan">
      <formula>0</formula>
    </cfRule>
  </conditionalFormatting>
  <conditionalFormatting sqref="I386">
    <cfRule type="cellIs" dxfId="281" priority="373" stopIfTrue="1" operator="greaterThan">
      <formula>0</formula>
    </cfRule>
  </conditionalFormatting>
  <conditionalFormatting sqref="I380">
    <cfRule type="cellIs" dxfId="280" priority="372" stopIfTrue="1" operator="greaterThan">
      <formula>0</formula>
    </cfRule>
  </conditionalFormatting>
  <conditionalFormatting sqref="I329">
    <cfRule type="cellIs" dxfId="279" priority="370" stopIfTrue="1" operator="greaterThan">
      <formula>0</formula>
    </cfRule>
  </conditionalFormatting>
  <conditionalFormatting sqref="I331">
    <cfRule type="cellIs" dxfId="278" priority="368" stopIfTrue="1" operator="greaterThan">
      <formula>0</formula>
    </cfRule>
  </conditionalFormatting>
  <conditionalFormatting sqref="I336">
    <cfRule type="cellIs" dxfId="277" priority="366" stopIfTrue="1" operator="greaterThan">
      <formula>0</formula>
    </cfRule>
  </conditionalFormatting>
  <conditionalFormatting sqref="I334">
    <cfRule type="cellIs" dxfId="276" priority="364" stopIfTrue="1" operator="greaterThan">
      <formula>0</formula>
    </cfRule>
  </conditionalFormatting>
  <conditionalFormatting sqref="I354:I356">
    <cfRule type="cellIs" dxfId="275" priority="357" stopIfTrue="1" operator="greaterThan">
      <formula>0</formula>
    </cfRule>
  </conditionalFormatting>
  <conditionalFormatting sqref="I305:I308">
    <cfRule type="cellIs" dxfId="274" priority="355" stopIfTrue="1" operator="greaterThan">
      <formula>0</formula>
    </cfRule>
  </conditionalFormatting>
  <conditionalFormatting sqref="I396">
    <cfRule type="cellIs" dxfId="273" priority="333" stopIfTrue="1" operator="greaterThan">
      <formula>0</formula>
    </cfRule>
  </conditionalFormatting>
  <conditionalFormatting sqref="I397">
    <cfRule type="cellIs" dxfId="272" priority="322" stopIfTrue="1" operator="greaterThan">
      <formula>0</formula>
    </cfRule>
  </conditionalFormatting>
  <conditionalFormatting sqref="I398">
    <cfRule type="cellIs" dxfId="271" priority="321" stopIfTrue="1" operator="greaterThan">
      <formula>0</formula>
    </cfRule>
  </conditionalFormatting>
  <conditionalFormatting sqref="I399:I402">
    <cfRule type="cellIs" dxfId="270" priority="299" stopIfTrue="1" operator="greaterThan">
      <formula>0</formula>
    </cfRule>
  </conditionalFormatting>
  <conditionalFormatting sqref="N390:N395">
    <cfRule type="expression" dxfId="269" priority="344" stopIfTrue="1">
      <formula>IF(AND(ISBLANK(N390),IF(L390&lt;TODAY(),TRUE,FALSE))=FALSE,FALSE,TRUE)</formula>
    </cfRule>
    <cfRule type="expression" dxfId="268" priority="345" stopIfTrue="1">
      <formula>IF(AND(IF(M390="",FALSE,TRUE),IF(N390="",FALSE,TRUE))=TRUE,TRUE,FALSE)</formula>
    </cfRule>
  </conditionalFormatting>
  <conditionalFormatting sqref="O390:O395">
    <cfRule type="expression" dxfId="267" priority="346" stopIfTrue="1">
      <formula>IF(OR(ISNUMBER(O390),ISBLANK(F390)),FALSE,TRUE)</formula>
    </cfRule>
  </conditionalFormatting>
  <conditionalFormatting sqref="L390:L395">
    <cfRule type="expression" dxfId="266" priority="347" stopIfTrue="1">
      <formula>IF(AND(IF(L390&lt;TODAY(),TRUE,FALSE),ISBLANK(N390)),TRUE,FALSE)</formula>
    </cfRule>
    <cfRule type="expression" dxfId="265" priority="348" stopIfTrue="1">
      <formula>IF(AND(IF(M390="",FALSE,TRUE),IF(N390="",FALSE,TRUE))=TRUE,TRUE,FALSE)</formula>
    </cfRule>
    <cfRule type="expression" dxfId="264" priority="349" stopIfTrue="1">
      <formula>IF(AND(IF(L390&lt;TODAY(),TRUE,FALSE),ISBLANK(M390)),TRUE,FALSE)</formula>
    </cfRule>
  </conditionalFormatting>
  <conditionalFormatting sqref="M390:M395">
    <cfRule type="expression" dxfId="263" priority="350" stopIfTrue="1">
      <formula>IF(AND(IF(M390="",FALSE,TRUE),IF(N390="",FALSE,TRUE))=TRUE,TRUE,FALSE)</formula>
    </cfRule>
    <cfRule type="expression" dxfId="262" priority="351" stopIfTrue="1">
      <formula>IF(AND(ISBLANK(M390),IF(L390&lt;TODAY(),TRUE,FALSE))=FALSE,FALSE,TRUE)</formula>
    </cfRule>
    <cfRule type="expression" dxfId="261" priority="352" stopIfTrue="1">
      <formula>IF(AND(IF(L390="",FALSE,TRUE),IF(M390="",FALSE,TRUE))=FALSE,TRUE,FALSE)</formula>
    </cfRule>
  </conditionalFormatting>
  <conditionalFormatting sqref="Q390:Q395">
    <cfRule type="cellIs" dxfId="260" priority="353" stopIfTrue="1" operator="greaterThan">
      <formula>0</formula>
    </cfRule>
  </conditionalFormatting>
  <conditionalFormatting sqref="N396">
    <cfRule type="expression" dxfId="259" priority="342" stopIfTrue="1">
      <formula>IF(AND(ISBLANK(N396),IF(L396&lt;TODAY(),TRUE,FALSE))=FALSE,FALSE,TRUE)</formula>
    </cfRule>
    <cfRule type="expression" dxfId="258" priority="343" stopIfTrue="1">
      <formula>IF(AND(IF(M396="",FALSE,TRUE),IF(N396="",FALSE,TRUE))=TRUE,TRUE,FALSE)</formula>
    </cfRule>
  </conditionalFormatting>
  <conditionalFormatting sqref="O396">
    <cfRule type="expression" dxfId="257" priority="341" stopIfTrue="1">
      <formula>IF(OR(ISNUMBER(O396),ISBLANK(F396)),FALSE,TRUE)</formula>
    </cfRule>
  </conditionalFormatting>
  <conditionalFormatting sqref="L396">
    <cfRule type="expression" dxfId="256" priority="338" stopIfTrue="1">
      <formula>IF(AND(IF(L396&lt;TODAY(),TRUE,FALSE),ISBLANK(N396)),TRUE,FALSE)</formula>
    </cfRule>
    <cfRule type="expression" dxfId="255" priority="339" stopIfTrue="1">
      <formula>IF(AND(IF(M396="",FALSE,TRUE),IF(N396="",FALSE,TRUE))=TRUE,TRUE,FALSE)</formula>
    </cfRule>
    <cfRule type="expression" dxfId="254" priority="340" stopIfTrue="1">
      <formula>IF(AND(IF(L396&lt;TODAY(),TRUE,FALSE),ISBLANK(M396)),TRUE,FALSE)</formula>
    </cfRule>
  </conditionalFormatting>
  <conditionalFormatting sqref="M396">
    <cfRule type="expression" dxfId="253" priority="335" stopIfTrue="1">
      <formula>IF(AND(IF(M396="",FALSE,TRUE),IF(N396="",FALSE,TRUE))=TRUE,TRUE,FALSE)</formula>
    </cfRule>
    <cfRule type="expression" dxfId="252" priority="336" stopIfTrue="1">
      <formula>IF(AND(ISBLANK(M396),IF(L396&lt;TODAY(),TRUE,FALSE))=FALSE,FALSE,TRUE)</formula>
    </cfRule>
    <cfRule type="expression" dxfId="251" priority="337" stopIfTrue="1">
      <formula>IF(AND(IF(L396="",FALSE,TRUE),IF(M396="",FALSE,TRUE))=FALSE,TRUE,FALSE)</formula>
    </cfRule>
  </conditionalFormatting>
  <conditionalFormatting sqref="Q396">
    <cfRule type="cellIs" dxfId="250" priority="334" stopIfTrue="1" operator="greaterThan">
      <formula>0</formula>
    </cfRule>
  </conditionalFormatting>
  <conditionalFormatting sqref="N397:N398">
    <cfRule type="expression" dxfId="249" priority="331" stopIfTrue="1">
      <formula>IF(AND(ISBLANK(N397),IF(L397&lt;TODAY(),TRUE,FALSE))=FALSE,FALSE,TRUE)</formula>
    </cfRule>
    <cfRule type="expression" dxfId="248" priority="332" stopIfTrue="1">
      <formula>IF(AND(IF(M397="",FALSE,TRUE),IF(N397="",FALSE,TRUE))=TRUE,TRUE,FALSE)</formula>
    </cfRule>
  </conditionalFormatting>
  <conditionalFormatting sqref="O397:O398">
    <cfRule type="expression" dxfId="247" priority="330" stopIfTrue="1">
      <formula>IF(OR(ISNUMBER(O397),ISBLANK(F397)),FALSE,TRUE)</formula>
    </cfRule>
  </conditionalFormatting>
  <conditionalFormatting sqref="L397:L398">
    <cfRule type="expression" dxfId="246" priority="327" stopIfTrue="1">
      <formula>IF(AND(IF(L397&lt;TODAY(),TRUE,FALSE),ISBLANK(N397)),TRUE,FALSE)</formula>
    </cfRule>
    <cfRule type="expression" dxfId="245" priority="328" stopIfTrue="1">
      <formula>IF(AND(IF(M397="",FALSE,TRUE),IF(N397="",FALSE,TRUE))=TRUE,TRUE,FALSE)</formula>
    </cfRule>
    <cfRule type="expression" dxfId="244" priority="329" stopIfTrue="1">
      <formula>IF(AND(IF(L397&lt;TODAY(),TRUE,FALSE),ISBLANK(M397)),TRUE,FALSE)</formula>
    </cfRule>
  </conditionalFormatting>
  <conditionalFormatting sqref="M397:M398">
    <cfRule type="expression" dxfId="243" priority="324" stopIfTrue="1">
      <formula>IF(AND(IF(M397="",FALSE,TRUE),IF(N397="",FALSE,TRUE))=TRUE,TRUE,FALSE)</formula>
    </cfRule>
    <cfRule type="expression" dxfId="242" priority="325" stopIfTrue="1">
      <formula>IF(AND(ISBLANK(M397),IF(L397&lt;TODAY(),TRUE,FALSE))=FALSE,FALSE,TRUE)</formula>
    </cfRule>
    <cfRule type="expression" dxfId="241" priority="326" stopIfTrue="1">
      <formula>IF(AND(IF(L397="",FALSE,TRUE),IF(M397="",FALSE,TRUE))=FALSE,TRUE,FALSE)</formula>
    </cfRule>
  </conditionalFormatting>
  <conditionalFormatting sqref="Q397:Q398">
    <cfRule type="cellIs" dxfId="240" priority="323" stopIfTrue="1" operator="greaterThan">
      <formula>0</formula>
    </cfRule>
  </conditionalFormatting>
  <conditionalFormatting sqref="N399:N402">
    <cfRule type="expression" dxfId="239" priority="319" stopIfTrue="1">
      <formula>IF(AND(ISBLANK(N399),IF(L399&lt;TODAY(),TRUE,FALSE))=FALSE,FALSE,TRUE)</formula>
    </cfRule>
    <cfRule type="expression" dxfId="238" priority="320" stopIfTrue="1">
      <formula>IF(AND(IF(M399="",FALSE,TRUE),IF(N399="",FALSE,TRUE))=TRUE,TRUE,FALSE)</formula>
    </cfRule>
  </conditionalFormatting>
  <conditionalFormatting sqref="O399:O402">
    <cfRule type="expression" dxfId="237" priority="318" stopIfTrue="1">
      <formula>IF(OR(ISNUMBER(O399),ISBLANK(F399)),FALSE,TRUE)</formula>
    </cfRule>
  </conditionalFormatting>
  <conditionalFormatting sqref="L399:L402">
    <cfRule type="expression" dxfId="236" priority="315" stopIfTrue="1">
      <formula>IF(AND(IF(L399&lt;TODAY(),TRUE,FALSE),ISBLANK(N399)),TRUE,FALSE)</formula>
    </cfRule>
    <cfRule type="expression" dxfId="235" priority="316" stopIfTrue="1">
      <formula>IF(AND(IF(M399="",FALSE,TRUE),IF(N399="",FALSE,TRUE))=TRUE,TRUE,FALSE)</formula>
    </cfRule>
    <cfRule type="expression" dxfId="234" priority="317" stopIfTrue="1">
      <formula>IF(AND(IF(L399&lt;TODAY(),TRUE,FALSE),ISBLANK(M399)),TRUE,FALSE)</formula>
    </cfRule>
  </conditionalFormatting>
  <conditionalFormatting sqref="M399:M402">
    <cfRule type="expression" dxfId="233" priority="312" stopIfTrue="1">
      <formula>IF(AND(IF(M399="",FALSE,TRUE),IF(N399="",FALSE,TRUE))=TRUE,TRUE,FALSE)</formula>
    </cfRule>
    <cfRule type="expression" dxfId="232" priority="313" stopIfTrue="1">
      <formula>IF(AND(ISBLANK(M399),IF(L399&lt;TODAY(),TRUE,FALSE))=FALSE,FALSE,TRUE)</formula>
    </cfRule>
    <cfRule type="expression" dxfId="231" priority="314" stopIfTrue="1">
      <formula>IF(AND(IF(L399="",FALSE,TRUE),IF(M399="",FALSE,TRUE))=FALSE,TRUE,FALSE)</formula>
    </cfRule>
  </conditionalFormatting>
  <conditionalFormatting sqref="Q399:Q402">
    <cfRule type="cellIs" dxfId="230" priority="311" stopIfTrue="1" operator="greaterThan">
      <formula>0</formula>
    </cfRule>
  </conditionalFormatting>
  <conditionalFormatting sqref="I373">
    <cfRule type="cellIs" dxfId="229" priority="296" stopIfTrue="1" operator="greaterThan">
      <formula>0</formula>
    </cfRule>
  </conditionalFormatting>
  <conditionalFormatting sqref="N373">
    <cfRule type="expression" dxfId="228" priority="294" stopIfTrue="1">
      <formula>IF(AND(ISBLANK(N373),IF(L373&lt;TODAY(),TRUE,FALSE))=FALSE,FALSE,TRUE)</formula>
    </cfRule>
    <cfRule type="expression" dxfId="227" priority="295" stopIfTrue="1">
      <formula>IF(AND(IF(M373="",FALSE,TRUE),IF(N373="",FALSE,TRUE))=TRUE,TRUE,FALSE)</formula>
    </cfRule>
  </conditionalFormatting>
  <conditionalFormatting sqref="O373">
    <cfRule type="expression" dxfId="226" priority="293" stopIfTrue="1">
      <formula>IF(OR(ISNUMBER(O373),ISBLANK(F373)),FALSE,TRUE)</formula>
    </cfRule>
  </conditionalFormatting>
  <conditionalFormatting sqref="L373">
    <cfRule type="expression" dxfId="225" priority="290" stopIfTrue="1">
      <formula>IF(AND(IF(L373&lt;TODAY(),TRUE,FALSE),ISBLANK(N373)),TRUE,FALSE)</formula>
    </cfRule>
    <cfRule type="expression" dxfId="224" priority="291" stopIfTrue="1">
      <formula>IF(AND(IF(M373="",FALSE,TRUE),IF(N373="",FALSE,TRUE))=TRUE,TRUE,FALSE)</formula>
    </cfRule>
    <cfRule type="expression" dxfId="223" priority="292" stopIfTrue="1">
      <formula>IF(AND(IF(L373&lt;TODAY(),TRUE,FALSE),ISBLANK(M373)),TRUE,FALSE)</formula>
    </cfRule>
  </conditionalFormatting>
  <conditionalFormatting sqref="M373">
    <cfRule type="expression" dxfId="222" priority="287" stopIfTrue="1">
      <formula>IF(AND(IF(M373="",FALSE,TRUE),IF(N373="",FALSE,TRUE))=TRUE,TRUE,FALSE)</formula>
    </cfRule>
    <cfRule type="expression" dxfId="221" priority="288" stopIfTrue="1">
      <formula>IF(AND(ISBLANK(M373),IF(L373&lt;TODAY(),TRUE,FALSE))=FALSE,FALSE,TRUE)</formula>
    </cfRule>
    <cfRule type="expression" dxfId="220" priority="289" stopIfTrue="1">
      <formula>IF(AND(IF(L373="",FALSE,TRUE),IF(M373="",FALSE,TRUE))=FALSE,TRUE,FALSE)</formula>
    </cfRule>
  </conditionalFormatting>
  <conditionalFormatting sqref="Q373">
    <cfRule type="cellIs" dxfId="219" priority="286" stopIfTrue="1" operator="greaterThan">
      <formula>0</formula>
    </cfRule>
  </conditionalFormatting>
  <conditionalFormatting sqref="I373">
    <cfRule type="cellIs" dxfId="218" priority="285" stopIfTrue="1" operator="greaterThan">
      <formula>0</formula>
    </cfRule>
  </conditionalFormatting>
  <conditionalFormatting sqref="N404:N406">
    <cfRule type="expression" dxfId="217" priority="283" stopIfTrue="1">
      <formula>IF(AND(ISBLANK(N404),IF(L404&lt;TODAY(),TRUE,FALSE))=FALSE,FALSE,TRUE)</formula>
    </cfRule>
    <cfRule type="expression" dxfId="216" priority="284" stopIfTrue="1">
      <formula>IF(AND(IF(M404="",FALSE,TRUE),IF(N404="",FALSE,TRUE))=TRUE,TRUE,FALSE)</formula>
    </cfRule>
  </conditionalFormatting>
  <conditionalFormatting sqref="O404:O406">
    <cfRule type="expression" dxfId="215" priority="282" stopIfTrue="1">
      <formula>IF(OR(ISNUMBER(O404),ISBLANK(F404)),FALSE,TRUE)</formula>
    </cfRule>
  </conditionalFormatting>
  <conditionalFormatting sqref="L404:L406">
    <cfRule type="expression" dxfId="214" priority="279" stopIfTrue="1">
      <formula>IF(AND(IF(L404&lt;TODAY(),TRUE,FALSE),ISBLANK(N404)),TRUE,FALSE)</formula>
    </cfRule>
    <cfRule type="expression" dxfId="213" priority="280" stopIfTrue="1">
      <formula>IF(AND(IF(M404="",FALSE,TRUE),IF(N404="",FALSE,TRUE))=TRUE,TRUE,FALSE)</formula>
    </cfRule>
    <cfRule type="expression" dxfId="212" priority="281" stopIfTrue="1">
      <formula>IF(AND(IF(L404&lt;TODAY(),TRUE,FALSE),ISBLANK(M404)),TRUE,FALSE)</formula>
    </cfRule>
  </conditionalFormatting>
  <conditionalFormatting sqref="M404:M406">
    <cfRule type="expression" dxfId="211" priority="276" stopIfTrue="1">
      <formula>IF(AND(IF(M404="",FALSE,TRUE),IF(N404="",FALSE,TRUE))=TRUE,TRUE,FALSE)</formula>
    </cfRule>
    <cfRule type="expression" dxfId="210" priority="277" stopIfTrue="1">
      <formula>IF(AND(ISBLANK(M404),IF(L404&lt;TODAY(),TRUE,FALSE))=FALSE,FALSE,TRUE)</formula>
    </cfRule>
    <cfRule type="expression" dxfId="209" priority="278" stopIfTrue="1">
      <formula>IF(AND(IF(L404="",FALSE,TRUE),IF(M404="",FALSE,TRUE))=FALSE,TRUE,FALSE)</formula>
    </cfRule>
  </conditionalFormatting>
  <conditionalFormatting sqref="Q404:Q406">
    <cfRule type="cellIs" dxfId="208" priority="275" stopIfTrue="1" operator="greaterThan">
      <formula>0</formula>
    </cfRule>
  </conditionalFormatting>
  <conditionalFormatting sqref="I404:I406">
    <cfRule type="cellIs" dxfId="207" priority="274" stopIfTrue="1" operator="greaterThan">
      <formula>0</formula>
    </cfRule>
  </conditionalFormatting>
  <conditionalFormatting sqref="N404:N406">
    <cfRule type="expression" dxfId="206" priority="272" stopIfTrue="1">
      <formula>IF(AND(ISBLANK(N404),IF(L404&lt;TODAY(),TRUE,FALSE))=FALSE,FALSE,TRUE)</formula>
    </cfRule>
    <cfRule type="expression" dxfId="205" priority="273" stopIfTrue="1">
      <formula>IF(AND(IF(M404="",FALSE,TRUE),IF(N404="",FALSE,TRUE))=TRUE,TRUE,FALSE)</formula>
    </cfRule>
  </conditionalFormatting>
  <conditionalFormatting sqref="O404:O406">
    <cfRule type="expression" dxfId="204" priority="271" stopIfTrue="1">
      <formula>IF(OR(ISNUMBER(O404),ISBLANK(F404)),FALSE,TRUE)</formula>
    </cfRule>
  </conditionalFormatting>
  <conditionalFormatting sqref="L404:L406">
    <cfRule type="expression" dxfId="203" priority="268" stopIfTrue="1">
      <formula>IF(AND(IF(L404&lt;TODAY(),TRUE,FALSE),ISBLANK(N404)),TRUE,FALSE)</formula>
    </cfRule>
    <cfRule type="expression" dxfId="202" priority="269" stopIfTrue="1">
      <formula>IF(AND(IF(M404="",FALSE,TRUE),IF(N404="",FALSE,TRUE))=TRUE,TRUE,FALSE)</formula>
    </cfRule>
    <cfRule type="expression" dxfId="201" priority="270" stopIfTrue="1">
      <formula>IF(AND(IF(L404&lt;TODAY(),TRUE,FALSE),ISBLANK(M404)),TRUE,FALSE)</formula>
    </cfRule>
  </conditionalFormatting>
  <conditionalFormatting sqref="M404:M406">
    <cfRule type="expression" dxfId="200" priority="265" stopIfTrue="1">
      <formula>IF(AND(IF(M404="",FALSE,TRUE),IF(N404="",FALSE,TRUE))=TRUE,TRUE,FALSE)</formula>
    </cfRule>
    <cfRule type="expression" dxfId="199" priority="266" stopIfTrue="1">
      <formula>IF(AND(ISBLANK(M404),IF(L404&lt;TODAY(),TRUE,FALSE))=FALSE,FALSE,TRUE)</formula>
    </cfRule>
    <cfRule type="expression" dxfId="198" priority="267" stopIfTrue="1">
      <formula>IF(AND(IF(L404="",FALSE,TRUE),IF(M404="",FALSE,TRUE))=FALSE,TRUE,FALSE)</formula>
    </cfRule>
  </conditionalFormatting>
  <conditionalFormatting sqref="Q404:Q406">
    <cfRule type="cellIs" dxfId="197" priority="264" stopIfTrue="1" operator="greaterThan">
      <formula>0</formula>
    </cfRule>
  </conditionalFormatting>
  <conditionalFormatting sqref="I404:I406">
    <cfRule type="cellIs" dxfId="196" priority="263" stopIfTrue="1" operator="greaterThan">
      <formula>0</formula>
    </cfRule>
  </conditionalFormatting>
  <conditionalFormatting sqref="N404:N406">
    <cfRule type="expression" dxfId="195" priority="261" stopIfTrue="1">
      <formula>IF(AND(ISBLANK(N404),IF(L404&lt;TODAY(),TRUE,FALSE))=FALSE,FALSE,TRUE)</formula>
    </cfRule>
    <cfRule type="expression" dxfId="194" priority="262" stopIfTrue="1">
      <formula>IF(AND(IF(M404="",FALSE,TRUE),IF(N404="",FALSE,TRUE))=TRUE,TRUE,FALSE)</formula>
    </cfRule>
  </conditionalFormatting>
  <conditionalFormatting sqref="O404:O406">
    <cfRule type="expression" dxfId="193" priority="260" stopIfTrue="1">
      <formula>IF(OR(ISNUMBER(O404),ISBLANK(F404)),FALSE,TRUE)</formula>
    </cfRule>
  </conditionalFormatting>
  <conditionalFormatting sqref="L404:L406">
    <cfRule type="expression" dxfId="192" priority="257" stopIfTrue="1">
      <formula>IF(AND(IF(L404&lt;TODAY(),TRUE,FALSE),ISBLANK(N404)),TRUE,FALSE)</formula>
    </cfRule>
    <cfRule type="expression" dxfId="191" priority="258" stopIfTrue="1">
      <formula>IF(AND(IF(M404="",FALSE,TRUE),IF(N404="",FALSE,TRUE))=TRUE,TRUE,FALSE)</formula>
    </cfRule>
    <cfRule type="expression" dxfId="190" priority="259" stopIfTrue="1">
      <formula>IF(AND(IF(L404&lt;TODAY(),TRUE,FALSE),ISBLANK(M404)),TRUE,FALSE)</formula>
    </cfRule>
  </conditionalFormatting>
  <conditionalFormatting sqref="M404:M406">
    <cfRule type="expression" dxfId="189" priority="254" stopIfTrue="1">
      <formula>IF(AND(IF(M404="",FALSE,TRUE),IF(N404="",FALSE,TRUE))=TRUE,TRUE,FALSE)</formula>
    </cfRule>
    <cfRule type="expression" dxfId="188" priority="255" stopIfTrue="1">
      <formula>IF(AND(ISBLANK(M404),IF(L404&lt;TODAY(),TRUE,FALSE))=FALSE,FALSE,TRUE)</formula>
    </cfRule>
    <cfRule type="expression" dxfId="187" priority="256" stopIfTrue="1">
      <formula>IF(AND(IF(L404="",FALSE,TRUE),IF(M404="",FALSE,TRUE))=FALSE,TRUE,FALSE)</formula>
    </cfRule>
  </conditionalFormatting>
  <conditionalFormatting sqref="Q404:Q406">
    <cfRule type="cellIs" dxfId="186" priority="253" stopIfTrue="1" operator="greaterThan">
      <formula>0</formula>
    </cfRule>
  </conditionalFormatting>
  <conditionalFormatting sqref="N405:N406">
    <cfRule type="expression" dxfId="185" priority="251" stopIfTrue="1">
      <formula>IF(AND(ISBLANK(N405),IF(L405&lt;TODAY(),TRUE,FALSE))=FALSE,FALSE,TRUE)</formula>
    </cfRule>
    <cfRule type="expression" dxfId="184" priority="252" stopIfTrue="1">
      <formula>IF(AND(IF(M405="",FALSE,TRUE),IF(N405="",FALSE,TRUE))=TRUE,TRUE,FALSE)</formula>
    </cfRule>
  </conditionalFormatting>
  <conditionalFormatting sqref="O405:O406">
    <cfRule type="expression" dxfId="183" priority="250" stopIfTrue="1">
      <formula>IF(OR(ISNUMBER(O405),ISBLANK(F405)),FALSE,TRUE)</formula>
    </cfRule>
  </conditionalFormatting>
  <conditionalFormatting sqref="L405:L406">
    <cfRule type="expression" dxfId="182" priority="247" stopIfTrue="1">
      <formula>IF(AND(IF(L405&lt;TODAY(),TRUE,FALSE),ISBLANK(N405)),TRUE,FALSE)</formula>
    </cfRule>
    <cfRule type="expression" dxfId="181" priority="248" stopIfTrue="1">
      <formula>IF(AND(IF(M405="",FALSE,TRUE),IF(N405="",FALSE,TRUE))=TRUE,TRUE,FALSE)</formula>
    </cfRule>
    <cfRule type="expression" dxfId="180" priority="249" stopIfTrue="1">
      <formula>IF(AND(IF(L405&lt;TODAY(),TRUE,FALSE),ISBLANK(M405)),TRUE,FALSE)</formula>
    </cfRule>
  </conditionalFormatting>
  <conditionalFormatting sqref="M405:M406">
    <cfRule type="expression" dxfId="179" priority="244" stopIfTrue="1">
      <formula>IF(AND(IF(M405="",FALSE,TRUE),IF(N405="",FALSE,TRUE))=TRUE,TRUE,FALSE)</formula>
    </cfRule>
    <cfRule type="expression" dxfId="178" priority="245" stopIfTrue="1">
      <formula>IF(AND(ISBLANK(M405),IF(L405&lt;TODAY(),TRUE,FALSE))=FALSE,FALSE,TRUE)</formula>
    </cfRule>
    <cfRule type="expression" dxfId="177" priority="246" stopIfTrue="1">
      <formula>IF(AND(IF(L405="",FALSE,TRUE),IF(M405="",FALSE,TRUE))=FALSE,TRUE,FALSE)</formula>
    </cfRule>
  </conditionalFormatting>
  <conditionalFormatting sqref="Q405:Q406">
    <cfRule type="cellIs" dxfId="176" priority="243" stopIfTrue="1" operator="greaterThan">
      <formula>0</formula>
    </cfRule>
  </conditionalFormatting>
  <conditionalFormatting sqref="I405:I406">
    <cfRule type="cellIs" dxfId="175" priority="242" stopIfTrue="1" operator="greaterThan">
      <formula>0</formula>
    </cfRule>
  </conditionalFormatting>
  <conditionalFormatting sqref="I405:I406">
    <cfRule type="cellIs" dxfId="174" priority="241" stopIfTrue="1" operator="greaterThan">
      <formula>0</formula>
    </cfRule>
  </conditionalFormatting>
  <conditionalFormatting sqref="N406">
    <cfRule type="expression" dxfId="173" priority="239" stopIfTrue="1">
      <formula>IF(AND(ISBLANK(N406),IF(L406&lt;TODAY(),TRUE,FALSE))=FALSE,FALSE,TRUE)</formula>
    </cfRule>
    <cfRule type="expression" dxfId="172" priority="240" stopIfTrue="1">
      <formula>IF(AND(IF(M406="",FALSE,TRUE),IF(N406="",FALSE,TRUE))=TRUE,TRUE,FALSE)</formula>
    </cfRule>
  </conditionalFormatting>
  <conditionalFormatting sqref="O406">
    <cfRule type="expression" dxfId="171" priority="238" stopIfTrue="1">
      <formula>IF(OR(ISNUMBER(O406),ISBLANK(F406)),FALSE,TRUE)</formula>
    </cfRule>
  </conditionalFormatting>
  <conditionalFormatting sqref="L406">
    <cfRule type="expression" dxfId="170" priority="235" stopIfTrue="1">
      <formula>IF(AND(IF(L406&lt;TODAY(),TRUE,FALSE),ISBLANK(N406)),TRUE,FALSE)</formula>
    </cfRule>
    <cfRule type="expression" dxfId="169" priority="236" stopIfTrue="1">
      <formula>IF(AND(IF(M406="",FALSE,TRUE),IF(N406="",FALSE,TRUE))=TRUE,TRUE,FALSE)</formula>
    </cfRule>
    <cfRule type="expression" dxfId="168" priority="237" stopIfTrue="1">
      <formula>IF(AND(IF(L406&lt;TODAY(),TRUE,FALSE),ISBLANK(M406)),TRUE,FALSE)</formula>
    </cfRule>
  </conditionalFormatting>
  <conditionalFormatting sqref="M406">
    <cfRule type="expression" dxfId="167" priority="232" stopIfTrue="1">
      <formula>IF(AND(IF(M406="",FALSE,TRUE),IF(N406="",FALSE,TRUE))=TRUE,TRUE,FALSE)</formula>
    </cfRule>
    <cfRule type="expression" dxfId="166" priority="233" stopIfTrue="1">
      <formula>IF(AND(ISBLANK(M406),IF(L406&lt;TODAY(),TRUE,FALSE))=FALSE,FALSE,TRUE)</formula>
    </cfRule>
    <cfRule type="expression" dxfId="165" priority="234" stopIfTrue="1">
      <formula>IF(AND(IF(L406="",FALSE,TRUE),IF(M406="",FALSE,TRUE))=FALSE,TRUE,FALSE)</formula>
    </cfRule>
  </conditionalFormatting>
  <conditionalFormatting sqref="Q406">
    <cfRule type="cellIs" dxfId="164" priority="231" stopIfTrue="1" operator="greaterThan">
      <formula>0</formula>
    </cfRule>
  </conditionalFormatting>
  <conditionalFormatting sqref="I406">
    <cfRule type="cellIs" dxfId="163" priority="230" stopIfTrue="1" operator="greaterThan">
      <formula>0</formula>
    </cfRule>
  </conditionalFormatting>
  <conditionalFormatting sqref="N406">
    <cfRule type="expression" dxfId="162" priority="228" stopIfTrue="1">
      <formula>IF(AND(ISBLANK(N406),IF(L406&lt;TODAY(),TRUE,FALSE))=FALSE,FALSE,TRUE)</formula>
    </cfRule>
    <cfRule type="expression" dxfId="161" priority="229" stopIfTrue="1">
      <formula>IF(AND(IF(M406="",FALSE,TRUE),IF(N406="",FALSE,TRUE))=TRUE,TRUE,FALSE)</formula>
    </cfRule>
  </conditionalFormatting>
  <conditionalFormatting sqref="O406">
    <cfRule type="expression" dxfId="160" priority="227" stopIfTrue="1">
      <formula>IF(OR(ISNUMBER(O406),ISBLANK(F406)),FALSE,TRUE)</formula>
    </cfRule>
  </conditionalFormatting>
  <conditionalFormatting sqref="L406">
    <cfRule type="expression" dxfId="159" priority="224" stopIfTrue="1">
      <formula>IF(AND(IF(L406&lt;TODAY(),TRUE,FALSE),ISBLANK(N406)),TRUE,FALSE)</formula>
    </cfRule>
    <cfRule type="expression" dxfId="158" priority="225" stopIfTrue="1">
      <formula>IF(AND(IF(M406="",FALSE,TRUE),IF(N406="",FALSE,TRUE))=TRUE,TRUE,FALSE)</formula>
    </cfRule>
    <cfRule type="expression" dxfId="157" priority="226" stopIfTrue="1">
      <formula>IF(AND(IF(L406&lt;TODAY(),TRUE,FALSE),ISBLANK(M406)),TRUE,FALSE)</formula>
    </cfRule>
  </conditionalFormatting>
  <conditionalFormatting sqref="M406">
    <cfRule type="expression" dxfId="156" priority="221" stopIfTrue="1">
      <formula>IF(AND(IF(M406="",FALSE,TRUE),IF(N406="",FALSE,TRUE))=TRUE,TRUE,FALSE)</formula>
    </cfRule>
    <cfRule type="expression" dxfId="155" priority="222" stopIfTrue="1">
      <formula>IF(AND(ISBLANK(M406),IF(L406&lt;TODAY(),TRUE,FALSE))=FALSE,FALSE,TRUE)</formula>
    </cfRule>
    <cfRule type="expression" dxfId="154" priority="223" stopIfTrue="1">
      <formula>IF(AND(IF(L406="",FALSE,TRUE),IF(M406="",FALSE,TRUE))=FALSE,TRUE,FALSE)</formula>
    </cfRule>
  </conditionalFormatting>
  <conditionalFormatting sqref="Q406">
    <cfRule type="cellIs" dxfId="153" priority="220" stopIfTrue="1" operator="greaterThan">
      <formula>0</formula>
    </cfRule>
  </conditionalFormatting>
  <conditionalFormatting sqref="I406">
    <cfRule type="cellIs" dxfId="152" priority="219" stopIfTrue="1" operator="greaterThan">
      <formula>0</formula>
    </cfRule>
  </conditionalFormatting>
  <conditionalFormatting sqref="N406">
    <cfRule type="expression" dxfId="151" priority="217" stopIfTrue="1">
      <formula>IF(AND(ISBLANK(N406),IF(L406&lt;TODAY(),TRUE,FALSE))=FALSE,FALSE,TRUE)</formula>
    </cfRule>
    <cfRule type="expression" dxfId="150" priority="218" stopIfTrue="1">
      <formula>IF(AND(IF(M406="",FALSE,TRUE),IF(N406="",FALSE,TRUE))=TRUE,TRUE,FALSE)</formula>
    </cfRule>
  </conditionalFormatting>
  <conditionalFormatting sqref="O406">
    <cfRule type="expression" dxfId="149" priority="216" stopIfTrue="1">
      <formula>IF(OR(ISNUMBER(O406),ISBLANK(F406)),FALSE,TRUE)</formula>
    </cfRule>
  </conditionalFormatting>
  <conditionalFormatting sqref="L406">
    <cfRule type="expression" dxfId="148" priority="213" stopIfTrue="1">
      <formula>IF(AND(IF(L406&lt;TODAY(),TRUE,FALSE),ISBLANK(N406)),TRUE,FALSE)</formula>
    </cfRule>
    <cfRule type="expression" dxfId="147" priority="214" stopIfTrue="1">
      <formula>IF(AND(IF(M406="",FALSE,TRUE),IF(N406="",FALSE,TRUE))=TRUE,TRUE,FALSE)</formula>
    </cfRule>
    <cfRule type="expression" dxfId="146" priority="215" stopIfTrue="1">
      <formula>IF(AND(IF(L406&lt;TODAY(),TRUE,FALSE),ISBLANK(M406)),TRUE,FALSE)</formula>
    </cfRule>
  </conditionalFormatting>
  <conditionalFormatting sqref="M406">
    <cfRule type="expression" dxfId="145" priority="210" stopIfTrue="1">
      <formula>IF(AND(IF(M406="",FALSE,TRUE),IF(N406="",FALSE,TRUE))=TRUE,TRUE,FALSE)</formula>
    </cfRule>
    <cfRule type="expression" dxfId="144" priority="211" stopIfTrue="1">
      <formula>IF(AND(ISBLANK(M406),IF(L406&lt;TODAY(),TRUE,FALSE))=FALSE,FALSE,TRUE)</formula>
    </cfRule>
    <cfRule type="expression" dxfId="143" priority="212" stopIfTrue="1">
      <formula>IF(AND(IF(L406="",FALSE,TRUE),IF(M406="",FALSE,TRUE))=FALSE,TRUE,FALSE)</formula>
    </cfRule>
  </conditionalFormatting>
  <conditionalFormatting sqref="Q406">
    <cfRule type="cellIs" dxfId="142" priority="209" stopIfTrue="1" operator="greaterThan">
      <formula>0</formula>
    </cfRule>
  </conditionalFormatting>
  <conditionalFormatting sqref="N406">
    <cfRule type="expression" dxfId="141" priority="207" stopIfTrue="1">
      <formula>IF(AND(ISBLANK(N406),IF(L406&lt;TODAY(),TRUE,FALSE))=FALSE,FALSE,TRUE)</formula>
    </cfRule>
    <cfRule type="expression" dxfId="140" priority="208" stopIfTrue="1">
      <formula>IF(AND(IF(M406="",FALSE,TRUE),IF(N406="",FALSE,TRUE))=TRUE,TRUE,FALSE)</formula>
    </cfRule>
  </conditionalFormatting>
  <conditionalFormatting sqref="O406">
    <cfRule type="expression" dxfId="139" priority="206" stopIfTrue="1">
      <formula>IF(OR(ISNUMBER(O406),ISBLANK(F406)),FALSE,TRUE)</formula>
    </cfRule>
  </conditionalFormatting>
  <conditionalFormatting sqref="L406">
    <cfRule type="expression" dxfId="138" priority="203" stopIfTrue="1">
      <formula>IF(AND(IF(L406&lt;TODAY(),TRUE,FALSE),ISBLANK(N406)),TRUE,FALSE)</formula>
    </cfRule>
    <cfRule type="expression" dxfId="137" priority="204" stopIfTrue="1">
      <formula>IF(AND(IF(M406="",FALSE,TRUE),IF(N406="",FALSE,TRUE))=TRUE,TRUE,FALSE)</formula>
    </cfRule>
    <cfRule type="expression" dxfId="136" priority="205" stopIfTrue="1">
      <formula>IF(AND(IF(L406&lt;TODAY(),TRUE,FALSE),ISBLANK(M406)),TRUE,FALSE)</formula>
    </cfRule>
  </conditionalFormatting>
  <conditionalFormatting sqref="M406">
    <cfRule type="expression" dxfId="135" priority="200" stopIfTrue="1">
      <formula>IF(AND(IF(M406="",FALSE,TRUE),IF(N406="",FALSE,TRUE))=TRUE,TRUE,FALSE)</formula>
    </cfRule>
    <cfRule type="expression" dxfId="134" priority="201" stopIfTrue="1">
      <formula>IF(AND(ISBLANK(M406),IF(L406&lt;TODAY(),TRUE,FALSE))=FALSE,FALSE,TRUE)</formula>
    </cfRule>
    <cfRule type="expression" dxfId="133" priority="202" stopIfTrue="1">
      <formula>IF(AND(IF(L406="",FALSE,TRUE),IF(M406="",FALSE,TRUE))=FALSE,TRUE,FALSE)</formula>
    </cfRule>
  </conditionalFormatting>
  <conditionalFormatting sqref="Q406">
    <cfRule type="cellIs" dxfId="132" priority="199" stopIfTrue="1" operator="greaterThan">
      <formula>0</formula>
    </cfRule>
  </conditionalFormatting>
  <conditionalFormatting sqref="I406">
    <cfRule type="cellIs" dxfId="131" priority="198" stopIfTrue="1" operator="greaterThan">
      <formula>0</formula>
    </cfRule>
  </conditionalFormatting>
  <conditionalFormatting sqref="I406">
    <cfRule type="cellIs" dxfId="130" priority="197" stopIfTrue="1" operator="greaterThan">
      <formula>0</formula>
    </cfRule>
  </conditionalFormatting>
  <conditionalFormatting sqref="N406">
    <cfRule type="expression" dxfId="129" priority="195" stopIfTrue="1">
      <formula>IF(AND(ISBLANK(N406),IF(L406&lt;TODAY(),TRUE,FALSE))=FALSE,FALSE,TRUE)</formula>
    </cfRule>
    <cfRule type="expression" dxfId="128" priority="196" stopIfTrue="1">
      <formula>IF(AND(IF(M406="",FALSE,TRUE),IF(N406="",FALSE,TRUE))=TRUE,TRUE,FALSE)</formula>
    </cfRule>
  </conditionalFormatting>
  <conditionalFormatting sqref="O406">
    <cfRule type="expression" dxfId="127" priority="194" stopIfTrue="1">
      <formula>IF(OR(ISNUMBER(O406),ISBLANK(F406)),FALSE,TRUE)</formula>
    </cfRule>
  </conditionalFormatting>
  <conditionalFormatting sqref="L406">
    <cfRule type="expression" dxfId="126" priority="191" stopIfTrue="1">
      <formula>IF(AND(IF(L406&lt;TODAY(),TRUE,FALSE),ISBLANK(N406)),TRUE,FALSE)</formula>
    </cfRule>
    <cfRule type="expression" dxfId="125" priority="192" stopIfTrue="1">
      <formula>IF(AND(IF(M406="",FALSE,TRUE),IF(N406="",FALSE,TRUE))=TRUE,TRUE,FALSE)</formula>
    </cfRule>
    <cfRule type="expression" dxfId="124" priority="193" stopIfTrue="1">
      <formula>IF(AND(IF(L406&lt;TODAY(),TRUE,FALSE),ISBLANK(M406)),TRUE,FALSE)</formula>
    </cfRule>
  </conditionalFormatting>
  <conditionalFormatting sqref="M406">
    <cfRule type="expression" dxfId="123" priority="188" stopIfTrue="1">
      <formula>IF(AND(IF(M406="",FALSE,TRUE),IF(N406="",FALSE,TRUE))=TRUE,TRUE,FALSE)</formula>
    </cfRule>
    <cfRule type="expression" dxfId="122" priority="189" stopIfTrue="1">
      <formula>IF(AND(ISBLANK(M406),IF(L406&lt;TODAY(),TRUE,FALSE))=FALSE,FALSE,TRUE)</formula>
    </cfRule>
    <cfRule type="expression" dxfId="121" priority="190" stopIfTrue="1">
      <formula>IF(AND(IF(L406="",FALSE,TRUE),IF(M406="",FALSE,TRUE))=FALSE,TRUE,FALSE)</formula>
    </cfRule>
  </conditionalFormatting>
  <conditionalFormatting sqref="Q406">
    <cfRule type="cellIs" dxfId="120" priority="187" stopIfTrue="1" operator="greaterThan">
      <formula>0</formula>
    </cfRule>
  </conditionalFormatting>
  <conditionalFormatting sqref="I406">
    <cfRule type="cellIs" dxfId="119" priority="186" stopIfTrue="1" operator="greaterThan">
      <formula>0</formula>
    </cfRule>
  </conditionalFormatting>
  <conditionalFormatting sqref="I313">
    <cfRule type="cellIs" dxfId="118" priority="185" stopIfTrue="1" operator="greaterThan">
      <formula>0</formula>
    </cfRule>
  </conditionalFormatting>
  <conditionalFormatting sqref="I313">
    <cfRule type="cellIs" dxfId="117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tabColor indexed="10"/>
    <pageSetUpPr fitToPage="1"/>
  </sheetPr>
  <dimension ref="A1:CO300"/>
  <sheetViews>
    <sheetView tabSelected="1"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1" outlineLevelCol="1" x14ac:dyDescent="0.2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 x14ac:dyDescent="0.2">
      <c r="A1" s="77"/>
      <c r="B1" s="1"/>
      <c r="C1" s="15" t="s">
        <v>1</v>
      </c>
      <c r="D1" s="54" t="s">
        <v>102</v>
      </c>
      <c r="E1" s="15"/>
      <c r="F1" s="15"/>
      <c r="G1" s="273" t="s">
        <v>9</v>
      </c>
      <c r="H1" s="273"/>
      <c r="I1" s="16" t="s">
        <v>992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 x14ac:dyDescent="0.2">
      <c r="A2" s="77"/>
      <c r="B2" s="1"/>
      <c r="C2" s="15" t="s">
        <v>14</v>
      </c>
      <c r="D2" s="172"/>
      <c r="E2" s="53"/>
      <c r="F2" s="53"/>
      <c r="G2" s="277">
        <v>117924</v>
      </c>
      <c r="H2" s="274"/>
      <c r="I2" s="275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 x14ac:dyDescent="0.25">
      <c r="A3" s="77"/>
      <c r="B3" s="1"/>
      <c r="C3" s="15" t="s">
        <v>0</v>
      </c>
      <c r="D3" s="78">
        <v>324234234</v>
      </c>
      <c r="E3" s="8"/>
      <c r="F3" s="8"/>
      <c r="G3" s="7" t="s">
        <v>10</v>
      </c>
      <c r="H3" s="88">
        <v>42328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 x14ac:dyDescent="0.25">
      <c r="A4" s="77"/>
      <c r="B4" s="1"/>
      <c r="C4" s="15" t="s">
        <v>33</v>
      </c>
      <c r="D4" s="276" t="str">
        <f>G179</f>
        <v>Obróbka wstępna: piaskowanie
Gruntowanie
Malowanie proszkowe: 
Pozycja 1. stelaż: biały (RAL 9003 )
Łączna grubość pokrycia: min. 90 µm warstwy suchej
Kooperant: Met-Kolor s.c.
Mariana Rapackiego 20, 20-151 Lublin</v>
      </c>
      <c r="E4" s="276"/>
      <c r="F4" s="276"/>
      <c r="G4" s="13" t="s">
        <v>11</v>
      </c>
      <c r="H4" s="252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5" t="s">
        <v>27</v>
      </c>
      <c r="R4" s="256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 x14ac:dyDescent="0.25">
      <c r="A5" s="77"/>
      <c r="B5" s="1"/>
      <c r="C5" s="257" t="s">
        <v>43</v>
      </c>
      <c r="D5" s="258"/>
      <c r="E5" s="11"/>
      <c r="F5" s="259" t="s">
        <v>30</v>
      </c>
      <c r="G5" s="260"/>
      <c r="H5" s="13"/>
      <c r="I5" s="14"/>
      <c r="K5" s="261" t="s">
        <v>34</v>
      </c>
      <c r="L5" s="262"/>
      <c r="M5" s="63"/>
      <c r="N5" s="63"/>
      <c r="O5" s="255" t="s">
        <v>24</v>
      </c>
      <c r="P5" s="256"/>
      <c r="Q5" s="52"/>
      <c r="R5" s="25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 x14ac:dyDescent="0.25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54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38.25" x14ac:dyDescent="0.2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990</v>
      </c>
      <c r="J7" s="248"/>
      <c r="AN7" s="131">
        <v>1</v>
      </c>
    </row>
    <row r="8" spans="1:93" s="131" customFormat="1" x14ac:dyDescent="0.2">
      <c r="A8" s="195" t="s">
        <v>237</v>
      </c>
      <c r="B8" s="222" t="s">
        <v>86</v>
      </c>
      <c r="C8" s="196" t="s">
        <v>845</v>
      </c>
      <c r="D8" s="197" t="s">
        <v>119</v>
      </c>
      <c r="E8" s="197">
        <v>1</v>
      </c>
      <c r="F8" s="197"/>
      <c r="G8" s="197"/>
      <c r="H8" s="195"/>
      <c r="I8" s="198" t="s">
        <v>846</v>
      </c>
      <c r="J8" s="199"/>
      <c r="AN8" s="131">
        <v>2</v>
      </c>
    </row>
    <row r="9" spans="1:93" s="131" customFormat="1" x14ac:dyDescent="0.2">
      <c r="A9" s="195" t="s">
        <v>213</v>
      </c>
      <c r="B9" s="222" t="s">
        <v>300</v>
      </c>
      <c r="C9" s="200" t="s">
        <v>238</v>
      </c>
      <c r="D9" s="201" t="s">
        <v>239</v>
      </c>
      <c r="E9" s="201">
        <v>2</v>
      </c>
      <c r="F9" s="202">
        <v>4.16241971</v>
      </c>
      <c r="G9" s="202">
        <f t="shared" ref="G9:G23" si="0">F9*E9</f>
        <v>8.32483942</v>
      </c>
      <c r="H9" s="203" t="s">
        <v>126</v>
      </c>
      <c r="I9" s="198" t="s">
        <v>846</v>
      </c>
      <c r="J9" s="205"/>
      <c r="AN9" s="131">
        <v>3</v>
      </c>
    </row>
    <row r="10" spans="1:93" s="131" customFormat="1" x14ac:dyDescent="0.2">
      <c r="A10" s="195" t="s">
        <v>213</v>
      </c>
      <c r="B10" s="222" t="s">
        <v>301</v>
      </c>
      <c r="C10" s="200" t="s">
        <v>240</v>
      </c>
      <c r="D10" s="201" t="s">
        <v>241</v>
      </c>
      <c r="E10" s="201"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198" t="s">
        <v>846</v>
      </c>
      <c r="J10" s="205"/>
      <c r="AN10" s="131">
        <v>3</v>
      </c>
    </row>
    <row r="11" spans="1:93" s="131" customFormat="1" x14ac:dyDescent="0.2">
      <c r="A11" s="195" t="s">
        <v>213</v>
      </c>
      <c r="B11" s="222" t="s">
        <v>302</v>
      </c>
      <c r="C11" s="200" t="s">
        <v>433</v>
      </c>
      <c r="D11" s="201" t="s">
        <v>434</v>
      </c>
      <c r="E11" s="201">
        <v>4</v>
      </c>
      <c r="F11" s="202">
        <v>0.17624634</v>
      </c>
      <c r="G11" s="202">
        <f t="shared" si="0"/>
        <v>0.70498536000000001</v>
      </c>
      <c r="H11" s="203" t="s">
        <v>126</v>
      </c>
      <c r="I11" s="198" t="s">
        <v>846</v>
      </c>
      <c r="J11" s="205"/>
      <c r="AN11" s="131">
        <v>3</v>
      </c>
    </row>
    <row r="12" spans="1:93" s="131" customFormat="1" x14ac:dyDescent="0.2">
      <c r="A12" s="195" t="s">
        <v>213</v>
      </c>
      <c r="B12" s="222" t="s">
        <v>303</v>
      </c>
      <c r="C12" s="200" t="s">
        <v>435</v>
      </c>
      <c r="D12" s="201" t="s">
        <v>242</v>
      </c>
      <c r="E12" s="201">
        <v>1</v>
      </c>
      <c r="F12" s="202">
        <v>0.11965078</v>
      </c>
      <c r="G12" s="202">
        <f t="shared" si="0"/>
        <v>0.11965078</v>
      </c>
      <c r="H12" s="203" t="s">
        <v>126</v>
      </c>
      <c r="I12" s="198" t="s">
        <v>846</v>
      </c>
      <c r="J12" s="205"/>
      <c r="AN12" s="131">
        <v>3</v>
      </c>
    </row>
    <row r="13" spans="1:93" s="131" customFormat="1" x14ac:dyDescent="0.2">
      <c r="A13" s="195" t="s">
        <v>213</v>
      </c>
      <c r="B13" s="222" t="s">
        <v>304</v>
      </c>
      <c r="C13" s="200" t="s">
        <v>436</v>
      </c>
      <c r="D13" s="201" t="s">
        <v>242</v>
      </c>
      <c r="E13" s="201">
        <v>1</v>
      </c>
      <c r="F13" s="202">
        <v>0.11965078</v>
      </c>
      <c r="G13" s="202">
        <f t="shared" si="0"/>
        <v>0.11965078</v>
      </c>
      <c r="H13" s="203" t="s">
        <v>126</v>
      </c>
      <c r="I13" s="198" t="s">
        <v>846</v>
      </c>
      <c r="J13" s="205"/>
      <c r="AN13" s="131">
        <v>3</v>
      </c>
    </row>
    <row r="14" spans="1:93" s="131" customFormat="1" x14ac:dyDescent="0.2">
      <c r="A14" s="195" t="s">
        <v>213</v>
      </c>
      <c r="B14" s="222" t="s">
        <v>305</v>
      </c>
      <c r="C14" s="200" t="s">
        <v>437</v>
      </c>
      <c r="D14" s="201" t="s">
        <v>381</v>
      </c>
      <c r="E14" s="201">
        <v>1</v>
      </c>
      <c r="F14" s="202">
        <v>0.11106744</v>
      </c>
      <c r="G14" s="202">
        <f t="shared" si="0"/>
        <v>0.11106744</v>
      </c>
      <c r="H14" s="203" t="s">
        <v>126</v>
      </c>
      <c r="I14" s="198" t="s">
        <v>846</v>
      </c>
      <c r="J14" s="205"/>
      <c r="AN14" s="131">
        <v>3</v>
      </c>
    </row>
    <row r="15" spans="1:93" s="131" customFormat="1" x14ac:dyDescent="0.2">
      <c r="A15" s="195" t="s">
        <v>213</v>
      </c>
      <c r="B15" s="222" t="s">
        <v>306</v>
      </c>
      <c r="C15" s="200" t="s">
        <v>438</v>
      </c>
      <c r="D15" s="201" t="s">
        <v>381</v>
      </c>
      <c r="E15" s="201">
        <v>1</v>
      </c>
      <c r="F15" s="202">
        <v>0.11106737</v>
      </c>
      <c r="G15" s="202">
        <f t="shared" si="0"/>
        <v>0.11106737</v>
      </c>
      <c r="H15" s="203" t="s">
        <v>126</v>
      </c>
      <c r="I15" s="198" t="s">
        <v>846</v>
      </c>
      <c r="J15" s="205"/>
      <c r="AN15" s="131">
        <v>3</v>
      </c>
    </row>
    <row r="16" spans="1:93" s="131" customFormat="1" x14ac:dyDescent="0.2">
      <c r="A16" s="195" t="s">
        <v>213</v>
      </c>
      <c r="B16" s="222" t="s">
        <v>307</v>
      </c>
      <c r="C16" s="200" t="s">
        <v>243</v>
      </c>
      <c r="D16" s="201" t="s">
        <v>244</v>
      </c>
      <c r="E16" s="201"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198" t="s">
        <v>846</v>
      </c>
      <c r="J16" s="205"/>
      <c r="AN16" s="131">
        <v>3</v>
      </c>
    </row>
    <row r="17" spans="1:40" s="131" customFormat="1" x14ac:dyDescent="0.2">
      <c r="A17" s="195" t="s">
        <v>213</v>
      </c>
      <c r="B17" s="222" t="s">
        <v>308</v>
      </c>
      <c r="C17" s="200" t="s">
        <v>245</v>
      </c>
      <c r="D17" s="201" t="s">
        <v>246</v>
      </c>
      <c r="E17" s="201"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198" t="s">
        <v>846</v>
      </c>
      <c r="J17" s="205"/>
      <c r="AN17" s="131">
        <v>3</v>
      </c>
    </row>
    <row r="18" spans="1:40" s="131" customFormat="1" x14ac:dyDescent="0.2">
      <c r="A18" s="195" t="s">
        <v>213</v>
      </c>
      <c r="B18" s="222" t="s">
        <v>309</v>
      </c>
      <c r="C18" s="200" t="s">
        <v>382</v>
      </c>
      <c r="D18" s="201" t="s">
        <v>383</v>
      </c>
      <c r="E18" s="201">
        <v>1</v>
      </c>
      <c r="F18" s="202">
        <v>7.19524E-2</v>
      </c>
      <c r="G18" s="202">
        <f t="shared" si="0"/>
        <v>7.19524E-2</v>
      </c>
      <c r="H18" s="203" t="s">
        <v>126</v>
      </c>
      <c r="I18" s="198" t="s">
        <v>846</v>
      </c>
      <c r="J18" s="205"/>
      <c r="AN18" s="131">
        <v>3</v>
      </c>
    </row>
    <row r="19" spans="1:40" s="131" customFormat="1" x14ac:dyDescent="0.2">
      <c r="A19" s="195" t="s">
        <v>213</v>
      </c>
      <c r="B19" s="222" t="s">
        <v>310</v>
      </c>
      <c r="C19" s="200" t="s">
        <v>248</v>
      </c>
      <c r="D19" s="201" t="s">
        <v>367</v>
      </c>
      <c r="E19" s="201">
        <v>2</v>
      </c>
      <c r="F19" s="202">
        <v>4.5460680000000003E-2</v>
      </c>
      <c r="G19" s="202">
        <f t="shared" si="0"/>
        <v>9.0921360000000007E-2</v>
      </c>
      <c r="H19" s="203" t="s">
        <v>126</v>
      </c>
      <c r="I19" s="198" t="s">
        <v>846</v>
      </c>
      <c r="J19" s="205"/>
      <c r="AN19" s="131">
        <v>3</v>
      </c>
    </row>
    <row r="20" spans="1:40" s="131" customFormat="1" x14ac:dyDescent="0.2">
      <c r="A20" s="195" t="s">
        <v>213</v>
      </c>
      <c r="B20" s="222" t="s">
        <v>311</v>
      </c>
      <c r="C20" s="200" t="s">
        <v>249</v>
      </c>
      <c r="D20" s="201" t="s">
        <v>367</v>
      </c>
      <c r="E20" s="201">
        <v>2</v>
      </c>
      <c r="F20" s="202">
        <v>4.5459329999999999E-2</v>
      </c>
      <c r="G20" s="202">
        <f t="shared" si="0"/>
        <v>9.0918659999999998E-2</v>
      </c>
      <c r="H20" s="203" t="s">
        <v>126</v>
      </c>
      <c r="I20" s="198" t="s">
        <v>846</v>
      </c>
      <c r="J20" s="205"/>
      <c r="AN20" s="131">
        <v>3</v>
      </c>
    </row>
    <row r="21" spans="1:40" s="131" customFormat="1" x14ac:dyDescent="0.2">
      <c r="A21" s="195" t="s">
        <v>213</v>
      </c>
      <c r="B21" s="222" t="s">
        <v>312</v>
      </c>
      <c r="C21" s="200" t="s">
        <v>385</v>
      </c>
      <c r="D21" s="201" t="s">
        <v>386</v>
      </c>
      <c r="E21" s="201">
        <v>1</v>
      </c>
      <c r="F21" s="202">
        <v>0.12992333</v>
      </c>
      <c r="G21" s="202">
        <f t="shared" si="0"/>
        <v>0.12992333</v>
      </c>
      <c r="H21" s="203" t="s">
        <v>126</v>
      </c>
      <c r="I21" s="198" t="s">
        <v>846</v>
      </c>
      <c r="J21" s="205"/>
      <c r="AN21" s="131">
        <v>3</v>
      </c>
    </row>
    <row r="22" spans="1:40" s="131" customFormat="1" x14ac:dyDescent="0.2">
      <c r="A22" s="195" t="s">
        <v>213</v>
      </c>
      <c r="B22" s="222" t="s">
        <v>313</v>
      </c>
      <c r="C22" s="200" t="s">
        <v>250</v>
      </c>
      <c r="D22" s="201" t="s">
        <v>251</v>
      </c>
      <c r="E22" s="201">
        <v>4</v>
      </c>
      <c r="F22" s="202">
        <v>9.6796240000000006E-2</v>
      </c>
      <c r="G22" s="202">
        <f t="shared" si="0"/>
        <v>0.38718496000000002</v>
      </c>
      <c r="H22" s="203" t="s">
        <v>126</v>
      </c>
      <c r="I22" s="198" t="s">
        <v>846</v>
      </c>
      <c r="J22" s="205"/>
      <c r="AN22" s="131">
        <v>3</v>
      </c>
    </row>
    <row r="23" spans="1:40" s="131" customFormat="1" x14ac:dyDescent="0.2">
      <c r="A23" s="195" t="s">
        <v>162</v>
      </c>
      <c r="B23" s="222" t="s">
        <v>314</v>
      </c>
      <c r="C23" s="153" t="s">
        <v>252</v>
      </c>
      <c r="D23" s="154" t="s">
        <v>253</v>
      </c>
      <c r="E23" s="154">
        <v>4</v>
      </c>
      <c r="F23" s="155">
        <v>4.0660700000000001E-2</v>
      </c>
      <c r="G23" s="155">
        <f t="shared" si="0"/>
        <v>0.1626428</v>
      </c>
      <c r="H23" s="156"/>
      <c r="I23" s="198" t="s">
        <v>846</v>
      </c>
      <c r="J23" s="158"/>
      <c r="AN23" s="131">
        <v>3</v>
      </c>
    </row>
    <row r="24" spans="1:40" s="131" customFormat="1" x14ac:dyDescent="0.2">
      <c r="A24" s="195" t="s">
        <v>237</v>
      </c>
      <c r="B24" s="222" t="s">
        <v>86</v>
      </c>
      <c r="C24" s="196" t="s">
        <v>937</v>
      </c>
      <c r="D24" s="197" t="s">
        <v>119</v>
      </c>
      <c r="E24" s="197">
        <v>1</v>
      </c>
      <c r="F24" s="197"/>
      <c r="G24" s="197"/>
      <c r="H24" s="195"/>
      <c r="I24" s="198" t="s">
        <v>938</v>
      </c>
      <c r="J24" s="199"/>
      <c r="AN24" s="131">
        <v>2</v>
      </c>
    </row>
    <row r="25" spans="1:40" s="131" customFormat="1" x14ac:dyDescent="0.2">
      <c r="A25" s="195" t="s">
        <v>213</v>
      </c>
      <c r="B25" s="222" t="s">
        <v>300</v>
      </c>
      <c r="C25" s="200" t="s">
        <v>238</v>
      </c>
      <c r="D25" s="201" t="s">
        <v>239</v>
      </c>
      <c r="E25" s="201">
        <v>2</v>
      </c>
      <c r="F25" s="202">
        <v>4.16241971</v>
      </c>
      <c r="G25" s="202">
        <f t="shared" ref="G25:G33" si="1">F25*E25</f>
        <v>8.32483942</v>
      </c>
      <c r="H25" s="203" t="s">
        <v>126</v>
      </c>
      <c r="I25" s="198" t="s">
        <v>938</v>
      </c>
      <c r="J25" s="205"/>
      <c r="AN25" s="131">
        <v>3</v>
      </c>
    </row>
    <row r="26" spans="1:40" s="131" customFormat="1" x14ac:dyDescent="0.2">
      <c r="A26" s="195" t="s">
        <v>213</v>
      </c>
      <c r="B26" s="222" t="s">
        <v>301</v>
      </c>
      <c r="C26" s="200" t="s">
        <v>240</v>
      </c>
      <c r="D26" s="201" t="s">
        <v>241</v>
      </c>
      <c r="E26" s="201">
        <v>2</v>
      </c>
      <c r="F26" s="202">
        <v>4.8122980000000002</v>
      </c>
      <c r="G26" s="202">
        <f t="shared" si="1"/>
        <v>9.6245960000000004</v>
      </c>
      <c r="H26" s="203" t="s">
        <v>126</v>
      </c>
      <c r="I26" s="198" t="s">
        <v>938</v>
      </c>
      <c r="J26" s="205"/>
      <c r="AN26" s="131">
        <v>3</v>
      </c>
    </row>
    <row r="27" spans="1:40" s="131" customFormat="1" x14ac:dyDescent="0.2">
      <c r="A27" s="195" t="s">
        <v>213</v>
      </c>
      <c r="B27" s="222" t="s">
        <v>302</v>
      </c>
      <c r="C27" s="200" t="s">
        <v>433</v>
      </c>
      <c r="D27" s="201" t="s">
        <v>434</v>
      </c>
      <c r="E27" s="201">
        <v>4</v>
      </c>
      <c r="F27" s="202">
        <v>0.17624634</v>
      </c>
      <c r="G27" s="202">
        <f t="shared" si="1"/>
        <v>0.70498536000000001</v>
      </c>
      <c r="H27" s="203" t="s">
        <v>126</v>
      </c>
      <c r="I27" s="198" t="s">
        <v>938</v>
      </c>
      <c r="J27" s="205"/>
      <c r="AN27" s="131">
        <v>3</v>
      </c>
    </row>
    <row r="28" spans="1:40" s="131" customFormat="1" x14ac:dyDescent="0.2">
      <c r="A28" s="195" t="s">
        <v>213</v>
      </c>
      <c r="B28" s="222" t="s">
        <v>303</v>
      </c>
      <c r="C28" s="200" t="s">
        <v>245</v>
      </c>
      <c r="D28" s="201" t="s">
        <v>246</v>
      </c>
      <c r="E28" s="201">
        <v>1</v>
      </c>
      <c r="F28" s="202">
        <v>0.53866608000000005</v>
      </c>
      <c r="G28" s="202">
        <f t="shared" si="1"/>
        <v>0.53866608000000005</v>
      </c>
      <c r="H28" s="203" t="s">
        <v>126</v>
      </c>
      <c r="I28" s="198" t="s">
        <v>938</v>
      </c>
      <c r="J28" s="205"/>
      <c r="AN28" s="131">
        <v>3</v>
      </c>
    </row>
    <row r="29" spans="1:40" s="131" customFormat="1" x14ac:dyDescent="0.2">
      <c r="A29" s="195" t="s">
        <v>213</v>
      </c>
      <c r="B29" s="222" t="s">
        <v>304</v>
      </c>
      <c r="C29" s="200" t="s">
        <v>382</v>
      </c>
      <c r="D29" s="201" t="s">
        <v>383</v>
      </c>
      <c r="E29" s="201">
        <v>1</v>
      </c>
      <c r="F29" s="202">
        <v>7.19524E-2</v>
      </c>
      <c r="G29" s="202">
        <f t="shared" si="1"/>
        <v>7.19524E-2</v>
      </c>
      <c r="H29" s="203" t="s">
        <v>126</v>
      </c>
      <c r="I29" s="198" t="s">
        <v>938</v>
      </c>
      <c r="J29" s="205"/>
      <c r="AN29" s="131">
        <v>3</v>
      </c>
    </row>
    <row r="30" spans="1:40" s="131" customFormat="1" x14ac:dyDescent="0.2">
      <c r="A30" s="195" t="s">
        <v>213</v>
      </c>
      <c r="B30" s="222" t="s">
        <v>305</v>
      </c>
      <c r="C30" s="200" t="s">
        <v>248</v>
      </c>
      <c r="D30" s="201" t="s">
        <v>367</v>
      </c>
      <c r="E30" s="201">
        <v>2</v>
      </c>
      <c r="F30" s="202">
        <v>4.5460680000000003E-2</v>
      </c>
      <c r="G30" s="202">
        <f t="shared" si="1"/>
        <v>9.0921360000000007E-2</v>
      </c>
      <c r="H30" s="203" t="s">
        <v>126</v>
      </c>
      <c r="I30" s="198" t="s">
        <v>938</v>
      </c>
      <c r="J30" s="205"/>
      <c r="AN30" s="131">
        <v>3</v>
      </c>
    </row>
    <row r="31" spans="1:40" s="131" customFormat="1" x14ac:dyDescent="0.2">
      <c r="A31" s="195" t="s">
        <v>213</v>
      </c>
      <c r="B31" s="222" t="s">
        <v>306</v>
      </c>
      <c r="C31" s="200" t="s">
        <v>249</v>
      </c>
      <c r="D31" s="201" t="s">
        <v>367</v>
      </c>
      <c r="E31" s="201">
        <v>2</v>
      </c>
      <c r="F31" s="202">
        <v>4.5459329999999999E-2</v>
      </c>
      <c r="G31" s="202">
        <f t="shared" si="1"/>
        <v>9.0918659999999998E-2</v>
      </c>
      <c r="H31" s="203" t="s">
        <v>126</v>
      </c>
      <c r="I31" s="198" t="s">
        <v>938</v>
      </c>
      <c r="J31" s="205"/>
      <c r="AN31" s="131">
        <v>3</v>
      </c>
    </row>
    <row r="32" spans="1:40" s="131" customFormat="1" x14ac:dyDescent="0.2">
      <c r="A32" s="195" t="s">
        <v>213</v>
      </c>
      <c r="B32" s="222" t="s">
        <v>307</v>
      </c>
      <c r="C32" s="200" t="s">
        <v>385</v>
      </c>
      <c r="D32" s="201" t="s">
        <v>386</v>
      </c>
      <c r="E32" s="201">
        <v>1</v>
      </c>
      <c r="F32" s="202">
        <v>0.12992333</v>
      </c>
      <c r="G32" s="202">
        <f t="shared" si="1"/>
        <v>0.12992333</v>
      </c>
      <c r="H32" s="203" t="s">
        <v>126</v>
      </c>
      <c r="I32" s="198" t="s">
        <v>938</v>
      </c>
      <c r="J32" s="205"/>
      <c r="AN32" s="131">
        <v>3</v>
      </c>
    </row>
    <row r="33" spans="1:40" s="131" customFormat="1" x14ac:dyDescent="0.2">
      <c r="A33" s="195" t="s">
        <v>162</v>
      </c>
      <c r="B33" s="222" t="s">
        <v>308</v>
      </c>
      <c r="C33" s="153" t="s">
        <v>252</v>
      </c>
      <c r="D33" s="154" t="s">
        <v>253</v>
      </c>
      <c r="E33" s="154">
        <v>4</v>
      </c>
      <c r="F33" s="155">
        <v>4.0660700000000001E-2</v>
      </c>
      <c r="G33" s="155">
        <f t="shared" si="1"/>
        <v>0.1626428</v>
      </c>
      <c r="H33" s="156"/>
      <c r="I33" s="198" t="s">
        <v>938</v>
      </c>
      <c r="J33" s="158"/>
      <c r="AN33" s="131">
        <v>3</v>
      </c>
    </row>
    <row r="34" spans="1:40" s="131" customFormat="1" x14ac:dyDescent="0.2">
      <c r="A34" s="195" t="s">
        <v>237</v>
      </c>
      <c r="B34" s="218" t="s">
        <v>87</v>
      </c>
      <c r="C34" s="196" t="s">
        <v>439</v>
      </c>
      <c r="D34" s="197" t="s">
        <v>120</v>
      </c>
      <c r="E34" s="197">
        <v>1</v>
      </c>
      <c r="F34" s="207"/>
      <c r="G34" s="207" t="str">
        <f>""</f>
        <v/>
      </c>
      <c r="H34" s="195"/>
      <c r="I34" s="198"/>
      <c r="J34" s="199"/>
      <c r="AN34" s="131">
        <v>2</v>
      </c>
    </row>
    <row r="35" spans="1:40" s="131" customFormat="1" outlineLevel="1" x14ac:dyDescent="0.2">
      <c r="A35" s="195" t="s">
        <v>213</v>
      </c>
      <c r="B35" s="218" t="s">
        <v>316</v>
      </c>
      <c r="C35" s="200" t="s">
        <v>254</v>
      </c>
      <c r="D35" s="201" t="s">
        <v>255</v>
      </c>
      <c r="E35" s="201">
        <v>2</v>
      </c>
      <c r="F35" s="202">
        <v>1.3699131200000001</v>
      </c>
      <c r="G35" s="202">
        <f t="shared" ref="G35:G41" si="2">F35*E35</f>
        <v>2.7398262400000002</v>
      </c>
      <c r="H35" s="203" t="s">
        <v>126</v>
      </c>
      <c r="I35" s="204"/>
      <c r="J35" s="205"/>
      <c r="AN35" s="131">
        <v>3</v>
      </c>
    </row>
    <row r="36" spans="1:40" s="131" customFormat="1" outlineLevel="1" x14ac:dyDescent="0.2">
      <c r="A36" s="195" t="s">
        <v>213</v>
      </c>
      <c r="B36" s="218" t="s">
        <v>317</v>
      </c>
      <c r="C36" s="200" t="s">
        <v>256</v>
      </c>
      <c r="D36" s="201" t="s">
        <v>257</v>
      </c>
      <c r="E36" s="201">
        <v>1</v>
      </c>
      <c r="F36" s="202">
        <v>1.09654622</v>
      </c>
      <c r="G36" s="202">
        <f t="shared" si="2"/>
        <v>1.09654622</v>
      </c>
      <c r="H36" s="203" t="s">
        <v>126</v>
      </c>
      <c r="I36" s="204"/>
      <c r="J36" s="205"/>
      <c r="AN36" s="131">
        <v>3</v>
      </c>
    </row>
    <row r="37" spans="1:40" s="131" customFormat="1" outlineLevel="1" x14ac:dyDescent="0.2">
      <c r="A37" s="195" t="s">
        <v>213</v>
      </c>
      <c r="B37" s="218" t="s">
        <v>318</v>
      </c>
      <c r="C37" s="200" t="s">
        <v>258</v>
      </c>
      <c r="D37" s="201" t="s">
        <v>440</v>
      </c>
      <c r="E37" s="201">
        <v>1</v>
      </c>
      <c r="F37" s="202">
        <v>1.0965381599999999</v>
      </c>
      <c r="G37" s="202">
        <f t="shared" si="2"/>
        <v>1.0965381599999999</v>
      </c>
      <c r="H37" s="203" t="s">
        <v>126</v>
      </c>
      <c r="I37" s="204"/>
      <c r="J37" s="205"/>
      <c r="AN37" s="131">
        <v>3</v>
      </c>
    </row>
    <row r="38" spans="1:40" s="131" customFormat="1" outlineLevel="1" x14ac:dyDescent="0.2">
      <c r="A38" s="195" t="s">
        <v>213</v>
      </c>
      <c r="B38" s="218" t="s">
        <v>319</v>
      </c>
      <c r="C38" s="200" t="s">
        <v>259</v>
      </c>
      <c r="D38" s="201" t="s">
        <v>260</v>
      </c>
      <c r="E38" s="201">
        <v>1</v>
      </c>
      <c r="F38" s="202">
        <v>0.49976885999999998</v>
      </c>
      <c r="G38" s="202">
        <f t="shared" si="2"/>
        <v>0.49976885999999998</v>
      </c>
      <c r="H38" s="203" t="s">
        <v>126</v>
      </c>
      <c r="I38" s="204"/>
      <c r="J38" s="205"/>
      <c r="AN38" s="131">
        <v>3</v>
      </c>
    </row>
    <row r="39" spans="1:40" s="131" customFormat="1" outlineLevel="1" x14ac:dyDescent="0.2">
      <c r="A39" s="195" t="s">
        <v>213</v>
      </c>
      <c r="B39" s="218" t="s">
        <v>320</v>
      </c>
      <c r="C39" s="200" t="s">
        <v>441</v>
      </c>
      <c r="D39" s="201" t="s">
        <v>442</v>
      </c>
      <c r="E39" s="201">
        <v>2</v>
      </c>
      <c r="F39" s="202">
        <v>4.008548E-2</v>
      </c>
      <c r="G39" s="202">
        <f t="shared" si="2"/>
        <v>8.0170959999999999E-2</v>
      </c>
      <c r="H39" s="203" t="s">
        <v>126</v>
      </c>
      <c r="I39" s="204"/>
      <c r="J39" s="205"/>
      <c r="AN39" s="131">
        <v>3</v>
      </c>
    </row>
    <row r="40" spans="1:40" s="131" customFormat="1" outlineLevel="1" x14ac:dyDescent="0.2">
      <c r="A40" s="195" t="s">
        <v>213</v>
      </c>
      <c r="B40" s="218" t="s">
        <v>321</v>
      </c>
      <c r="C40" s="200" t="s">
        <v>261</v>
      </c>
      <c r="D40" s="201" t="s">
        <v>443</v>
      </c>
      <c r="E40" s="201">
        <v>1</v>
      </c>
      <c r="F40" s="202">
        <v>0.25066654999999999</v>
      </c>
      <c r="G40" s="202">
        <f t="shared" si="2"/>
        <v>0.25066654999999999</v>
      </c>
      <c r="H40" s="203" t="s">
        <v>126</v>
      </c>
      <c r="I40" s="204"/>
      <c r="J40" s="205"/>
      <c r="AN40" s="131">
        <v>3</v>
      </c>
    </row>
    <row r="41" spans="1:40" s="131" customFormat="1" outlineLevel="1" x14ac:dyDescent="0.2">
      <c r="A41" s="195" t="s">
        <v>213</v>
      </c>
      <c r="B41" s="218" t="s">
        <v>322</v>
      </c>
      <c r="C41" s="200" t="s">
        <v>402</v>
      </c>
      <c r="D41" s="201" t="s">
        <v>403</v>
      </c>
      <c r="E41" s="201">
        <v>1</v>
      </c>
      <c r="F41" s="202">
        <v>0.46376856</v>
      </c>
      <c r="G41" s="202">
        <f t="shared" si="2"/>
        <v>0.46376856</v>
      </c>
      <c r="H41" s="203" t="s">
        <v>126</v>
      </c>
      <c r="I41" s="204"/>
      <c r="J41" s="205"/>
      <c r="AN41" s="131">
        <v>3</v>
      </c>
    </row>
    <row r="42" spans="1:40" s="131" customFormat="1" x14ac:dyDescent="0.2">
      <c r="A42" s="195" t="s">
        <v>237</v>
      </c>
      <c r="B42" s="222" t="s">
        <v>87</v>
      </c>
      <c r="C42" s="196" t="s">
        <v>958</v>
      </c>
      <c r="D42" s="197" t="s">
        <v>120</v>
      </c>
      <c r="E42" s="197">
        <v>1</v>
      </c>
      <c r="F42" s="197"/>
      <c r="G42" s="197"/>
      <c r="H42" s="195"/>
      <c r="I42" s="198" t="s">
        <v>959</v>
      </c>
      <c r="J42" s="199"/>
      <c r="AN42" s="131">
        <v>2</v>
      </c>
    </row>
    <row r="43" spans="1:40" s="131" customFormat="1" x14ac:dyDescent="0.2">
      <c r="A43" s="195" t="s">
        <v>213</v>
      </c>
      <c r="B43" s="222" t="s">
        <v>316</v>
      </c>
      <c r="C43" s="200" t="s">
        <v>254</v>
      </c>
      <c r="D43" s="201" t="s">
        <v>255</v>
      </c>
      <c r="E43" s="201">
        <v>2</v>
      </c>
      <c r="F43" s="202">
        <v>1.3699131200000001</v>
      </c>
      <c r="G43" s="202">
        <f t="shared" ref="G43:G49" si="3">F43*E43</f>
        <v>2.7398262400000002</v>
      </c>
      <c r="H43" s="203" t="s">
        <v>126</v>
      </c>
      <c r="I43" s="198" t="s">
        <v>959</v>
      </c>
      <c r="J43" s="205"/>
      <c r="AN43" s="131">
        <v>3</v>
      </c>
    </row>
    <row r="44" spans="1:40" s="131" customFormat="1" x14ac:dyDescent="0.2">
      <c r="A44" s="195" t="s">
        <v>213</v>
      </c>
      <c r="B44" s="222" t="s">
        <v>317</v>
      </c>
      <c r="C44" s="200" t="s">
        <v>256</v>
      </c>
      <c r="D44" s="201" t="s">
        <v>257</v>
      </c>
      <c r="E44" s="201">
        <v>1</v>
      </c>
      <c r="F44" s="202">
        <v>1.09654622</v>
      </c>
      <c r="G44" s="202">
        <f t="shared" si="3"/>
        <v>1.09654622</v>
      </c>
      <c r="H44" s="203" t="s">
        <v>126</v>
      </c>
      <c r="I44" s="198" t="s">
        <v>959</v>
      </c>
      <c r="J44" s="205"/>
      <c r="AN44" s="131">
        <v>3</v>
      </c>
    </row>
    <row r="45" spans="1:40" s="131" customFormat="1" x14ac:dyDescent="0.2">
      <c r="A45" s="195" t="s">
        <v>213</v>
      </c>
      <c r="B45" s="222" t="s">
        <v>318</v>
      </c>
      <c r="C45" s="200" t="s">
        <v>258</v>
      </c>
      <c r="D45" s="201" t="s">
        <v>440</v>
      </c>
      <c r="E45" s="201">
        <v>1</v>
      </c>
      <c r="F45" s="202">
        <v>1.0965381599999999</v>
      </c>
      <c r="G45" s="202">
        <f t="shared" si="3"/>
        <v>1.0965381599999999</v>
      </c>
      <c r="H45" s="203" t="s">
        <v>126</v>
      </c>
      <c r="I45" s="198" t="s">
        <v>959</v>
      </c>
      <c r="J45" s="205"/>
      <c r="AN45" s="131">
        <v>3</v>
      </c>
    </row>
    <row r="46" spans="1:40" s="131" customFormat="1" x14ac:dyDescent="0.2">
      <c r="A46" s="195" t="s">
        <v>213</v>
      </c>
      <c r="B46" s="222" t="s">
        <v>319</v>
      </c>
      <c r="C46" s="200" t="s">
        <v>259</v>
      </c>
      <c r="D46" s="201" t="s">
        <v>260</v>
      </c>
      <c r="E46" s="201">
        <v>1</v>
      </c>
      <c r="F46" s="202">
        <v>0.49976885999999998</v>
      </c>
      <c r="G46" s="202">
        <f t="shared" si="3"/>
        <v>0.49976885999999998</v>
      </c>
      <c r="H46" s="203" t="s">
        <v>126</v>
      </c>
      <c r="I46" s="198" t="s">
        <v>959</v>
      </c>
      <c r="J46" s="205"/>
      <c r="AN46" s="131">
        <v>3</v>
      </c>
    </row>
    <row r="47" spans="1:40" s="131" customFormat="1" x14ac:dyDescent="0.2">
      <c r="A47" s="195" t="s">
        <v>213</v>
      </c>
      <c r="B47" s="222" t="s">
        <v>320</v>
      </c>
      <c r="C47" s="200" t="s">
        <v>441</v>
      </c>
      <c r="D47" s="201" t="s">
        <v>442</v>
      </c>
      <c r="E47" s="201">
        <v>2</v>
      </c>
      <c r="F47" s="202">
        <v>4.008548E-2</v>
      </c>
      <c r="G47" s="202">
        <f t="shared" si="3"/>
        <v>8.0170959999999999E-2</v>
      </c>
      <c r="H47" s="203" t="s">
        <v>126</v>
      </c>
      <c r="I47" s="198" t="s">
        <v>959</v>
      </c>
      <c r="J47" s="205"/>
      <c r="AN47" s="131">
        <v>3</v>
      </c>
    </row>
    <row r="48" spans="1:40" s="131" customFormat="1" x14ac:dyDescent="0.2">
      <c r="A48" s="195" t="s">
        <v>213</v>
      </c>
      <c r="B48" s="222" t="s">
        <v>321</v>
      </c>
      <c r="C48" s="200" t="s">
        <v>261</v>
      </c>
      <c r="D48" s="201" t="s">
        <v>443</v>
      </c>
      <c r="E48" s="201">
        <v>1</v>
      </c>
      <c r="F48" s="202">
        <v>0.25066654999999999</v>
      </c>
      <c r="G48" s="202">
        <f t="shared" si="3"/>
        <v>0.25066654999999999</v>
      </c>
      <c r="H48" s="203" t="s">
        <v>126</v>
      </c>
      <c r="I48" s="198" t="s">
        <v>959</v>
      </c>
      <c r="J48" s="205"/>
      <c r="AN48" s="131">
        <v>3</v>
      </c>
    </row>
    <row r="49" spans="1:40" s="131" customFormat="1" x14ac:dyDescent="0.2">
      <c r="A49" s="195" t="s">
        <v>213</v>
      </c>
      <c r="B49" s="222" t="s">
        <v>322</v>
      </c>
      <c r="C49" s="200" t="s">
        <v>402</v>
      </c>
      <c r="D49" s="201" t="s">
        <v>403</v>
      </c>
      <c r="E49" s="201">
        <v>1</v>
      </c>
      <c r="F49" s="202">
        <v>0.46376856</v>
      </c>
      <c r="G49" s="202">
        <f t="shared" si="3"/>
        <v>0.46376856</v>
      </c>
      <c r="H49" s="203" t="s">
        <v>126</v>
      </c>
      <c r="I49" s="198" t="s">
        <v>959</v>
      </c>
      <c r="J49" s="205"/>
      <c r="AN49" s="131">
        <v>3</v>
      </c>
    </row>
    <row r="50" spans="1:40" s="131" customFormat="1" x14ac:dyDescent="0.2">
      <c r="A50" s="195" t="s">
        <v>237</v>
      </c>
      <c r="B50" s="218" t="s">
        <v>88</v>
      </c>
      <c r="C50" s="196" t="s">
        <v>444</v>
      </c>
      <c r="D50" s="197" t="s">
        <v>121</v>
      </c>
      <c r="E50" s="197">
        <v>1</v>
      </c>
      <c r="F50" s="207"/>
      <c r="G50" s="207" t="str">
        <f>""</f>
        <v/>
      </c>
      <c r="H50" s="195"/>
      <c r="I50" s="198"/>
      <c r="J50" s="199"/>
      <c r="AN50" s="131">
        <v>2</v>
      </c>
    </row>
    <row r="51" spans="1:40" s="131" customFormat="1" outlineLevel="1" x14ac:dyDescent="0.2">
      <c r="A51" s="195" t="s">
        <v>213</v>
      </c>
      <c r="B51" s="218" t="s">
        <v>323</v>
      </c>
      <c r="C51" s="200" t="s">
        <v>262</v>
      </c>
      <c r="D51" s="201" t="s">
        <v>255</v>
      </c>
      <c r="E51" s="201">
        <v>2</v>
      </c>
      <c r="F51" s="202">
        <v>1.37</v>
      </c>
      <c r="G51" s="202">
        <f t="shared" ref="G51:G56" si="4">F51*E51</f>
        <v>2.74</v>
      </c>
      <c r="H51" s="203" t="s">
        <v>126</v>
      </c>
      <c r="I51" s="204"/>
      <c r="J51" s="205"/>
      <c r="AN51" s="131">
        <v>3</v>
      </c>
    </row>
    <row r="52" spans="1:40" s="131" customFormat="1" outlineLevel="1" x14ac:dyDescent="0.2">
      <c r="A52" s="195" t="s">
        <v>213</v>
      </c>
      <c r="B52" s="218" t="s">
        <v>324</v>
      </c>
      <c r="C52" s="200" t="s">
        <v>256</v>
      </c>
      <c r="D52" s="201" t="s">
        <v>257</v>
      </c>
      <c r="E52" s="201">
        <v>1</v>
      </c>
      <c r="F52" s="202">
        <v>1.1000000000000001</v>
      </c>
      <c r="G52" s="202">
        <f t="shared" si="4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 x14ac:dyDescent="0.2">
      <c r="A53" s="195" t="s">
        <v>213</v>
      </c>
      <c r="B53" s="218" t="s">
        <v>325</v>
      </c>
      <c r="C53" s="200" t="s">
        <v>258</v>
      </c>
      <c r="D53" s="201" t="s">
        <v>440</v>
      </c>
      <c r="E53" s="201">
        <v>1</v>
      </c>
      <c r="F53" s="202">
        <v>1.1000000000000001</v>
      </c>
      <c r="G53" s="202">
        <f t="shared" si="4"/>
        <v>1.1000000000000001</v>
      </c>
      <c r="H53" s="203" t="s">
        <v>126</v>
      </c>
      <c r="I53" s="204"/>
      <c r="J53" s="205"/>
      <c r="AN53" s="131">
        <v>3</v>
      </c>
    </row>
    <row r="54" spans="1:40" s="131" customFormat="1" outlineLevel="1" x14ac:dyDescent="0.2">
      <c r="A54" s="195" t="s">
        <v>213</v>
      </c>
      <c r="B54" s="218" t="s">
        <v>326</v>
      </c>
      <c r="C54" s="200" t="s">
        <v>263</v>
      </c>
      <c r="D54" s="201" t="s">
        <v>264</v>
      </c>
      <c r="E54" s="201">
        <v>1</v>
      </c>
      <c r="F54" s="202">
        <v>0.53</v>
      </c>
      <c r="G54" s="202">
        <f t="shared" si="4"/>
        <v>0.53</v>
      </c>
      <c r="H54" s="203" t="s">
        <v>126</v>
      </c>
      <c r="I54" s="204"/>
      <c r="J54" s="205"/>
      <c r="AN54" s="131">
        <v>3</v>
      </c>
    </row>
    <row r="55" spans="1:40" s="131" customFormat="1" outlineLevel="1" x14ac:dyDescent="0.2">
      <c r="A55" s="195" t="s">
        <v>213</v>
      </c>
      <c r="B55" s="218" t="s">
        <v>327</v>
      </c>
      <c r="C55" s="200" t="s">
        <v>261</v>
      </c>
      <c r="D55" s="201" t="s">
        <v>443</v>
      </c>
      <c r="E55" s="201">
        <v>1</v>
      </c>
      <c r="F55" s="202">
        <v>0.25</v>
      </c>
      <c r="G55" s="202">
        <f t="shared" si="4"/>
        <v>0.25</v>
      </c>
      <c r="H55" s="203" t="s">
        <v>126</v>
      </c>
      <c r="I55" s="204"/>
      <c r="J55" s="205"/>
      <c r="AN55" s="131">
        <v>3</v>
      </c>
    </row>
    <row r="56" spans="1:40" s="131" customFormat="1" outlineLevel="1" x14ac:dyDescent="0.2">
      <c r="A56" s="195" t="s">
        <v>213</v>
      </c>
      <c r="B56" s="218" t="s">
        <v>328</v>
      </c>
      <c r="C56" s="200" t="s">
        <v>404</v>
      </c>
      <c r="D56" s="201" t="s">
        <v>405</v>
      </c>
      <c r="E56" s="201">
        <v>1</v>
      </c>
      <c r="F56" s="202">
        <v>0.63</v>
      </c>
      <c r="G56" s="202">
        <f t="shared" si="4"/>
        <v>0.63</v>
      </c>
      <c r="H56" s="203" t="s">
        <v>126</v>
      </c>
      <c r="I56" s="204"/>
      <c r="J56" s="205"/>
      <c r="AN56" s="131">
        <v>3</v>
      </c>
    </row>
    <row r="57" spans="1:40" s="131" customFormat="1" x14ac:dyDescent="0.2">
      <c r="A57" s="195" t="s">
        <v>237</v>
      </c>
      <c r="B57" s="218" t="s">
        <v>89</v>
      </c>
      <c r="C57" s="196" t="s">
        <v>445</v>
      </c>
      <c r="D57" s="197" t="s">
        <v>122</v>
      </c>
      <c r="E57" s="197">
        <v>1</v>
      </c>
      <c r="F57" s="207"/>
      <c r="G57" s="207" t="str">
        <f>""</f>
        <v/>
      </c>
      <c r="H57" s="195"/>
      <c r="I57" s="198"/>
      <c r="J57" s="199"/>
      <c r="AN57" s="131">
        <v>2</v>
      </c>
    </row>
    <row r="58" spans="1:40" s="131" customFormat="1" outlineLevel="1" x14ac:dyDescent="0.2">
      <c r="A58" s="195" t="s">
        <v>213</v>
      </c>
      <c r="B58" s="218" t="s">
        <v>329</v>
      </c>
      <c r="C58" s="200" t="s">
        <v>406</v>
      </c>
      <c r="D58" s="201" t="s">
        <v>407</v>
      </c>
      <c r="E58" s="201">
        <v>1</v>
      </c>
      <c r="F58" s="202">
        <v>1.1299999999999999</v>
      </c>
      <c r="G58" s="202">
        <f t="shared" ref="G58:G63" si="5">F58*E58</f>
        <v>1.1299999999999999</v>
      </c>
      <c r="H58" s="203" t="s">
        <v>126</v>
      </c>
      <c r="I58" s="204"/>
      <c r="J58" s="205"/>
      <c r="AN58" s="131">
        <v>3</v>
      </c>
    </row>
    <row r="59" spans="1:40" s="131" customFormat="1" outlineLevel="1" x14ac:dyDescent="0.2">
      <c r="A59" s="195" t="s">
        <v>213</v>
      </c>
      <c r="B59" s="218" t="s">
        <v>330</v>
      </c>
      <c r="C59" s="200" t="s">
        <v>265</v>
      </c>
      <c r="D59" s="201" t="s">
        <v>266</v>
      </c>
      <c r="E59" s="201">
        <v>2</v>
      </c>
      <c r="F59" s="202">
        <v>0.01</v>
      </c>
      <c r="G59" s="202">
        <f t="shared" si="5"/>
        <v>0.02</v>
      </c>
      <c r="H59" s="203" t="s">
        <v>126</v>
      </c>
      <c r="I59" s="204"/>
      <c r="J59" s="205"/>
      <c r="AN59" s="131">
        <v>3</v>
      </c>
    </row>
    <row r="60" spans="1:40" s="131" customFormat="1" x14ac:dyDescent="0.2">
      <c r="A60" s="195" t="s">
        <v>213</v>
      </c>
      <c r="B60" s="218" t="s">
        <v>90</v>
      </c>
      <c r="C60" s="208" t="s">
        <v>446</v>
      </c>
      <c r="D60" s="206" t="s">
        <v>447</v>
      </c>
      <c r="E60" s="206">
        <v>1</v>
      </c>
      <c r="F60" s="209">
        <v>0.65</v>
      </c>
      <c r="G60" s="209">
        <f t="shared" si="5"/>
        <v>0.65</v>
      </c>
      <c r="H60" s="210" t="s">
        <v>126</v>
      </c>
      <c r="I60" s="211"/>
      <c r="J60" s="212"/>
      <c r="AN60" s="131">
        <v>2</v>
      </c>
    </row>
    <row r="61" spans="1:40" s="131" customFormat="1" x14ac:dyDescent="0.2">
      <c r="A61" s="195" t="s">
        <v>213</v>
      </c>
      <c r="B61" s="218" t="s">
        <v>90</v>
      </c>
      <c r="C61" s="208" t="s">
        <v>940</v>
      </c>
      <c r="D61" s="206" t="s">
        <v>447</v>
      </c>
      <c r="E61" s="206">
        <v>1</v>
      </c>
      <c r="F61" s="209">
        <v>0.65</v>
      </c>
      <c r="G61" s="209">
        <f t="shared" si="5"/>
        <v>0.65</v>
      </c>
      <c r="H61" s="210">
        <v>1.4300999999999999</v>
      </c>
      <c r="I61" s="211" t="s">
        <v>864</v>
      </c>
      <c r="J61" s="212"/>
      <c r="AN61" s="131">
        <v>2</v>
      </c>
    </row>
    <row r="62" spans="1:40" s="131" customFormat="1" x14ac:dyDescent="0.2">
      <c r="A62" s="195" t="s">
        <v>213</v>
      </c>
      <c r="B62" s="218" t="s">
        <v>91</v>
      </c>
      <c r="C62" s="208" t="s">
        <v>448</v>
      </c>
      <c r="D62" s="206" t="s">
        <v>449</v>
      </c>
      <c r="E62" s="206">
        <v>1</v>
      </c>
      <c r="F62" s="209">
        <v>0.83</v>
      </c>
      <c r="G62" s="209">
        <f t="shared" si="5"/>
        <v>0.83</v>
      </c>
      <c r="H62" s="210" t="s">
        <v>126</v>
      </c>
      <c r="I62" s="211"/>
      <c r="J62" s="212"/>
      <c r="AN62" s="131">
        <v>2</v>
      </c>
    </row>
    <row r="63" spans="1:40" s="131" customFormat="1" x14ac:dyDescent="0.2">
      <c r="A63" s="195" t="s">
        <v>213</v>
      </c>
      <c r="B63" s="218" t="s">
        <v>91</v>
      </c>
      <c r="C63" s="208" t="s">
        <v>939</v>
      </c>
      <c r="D63" s="206" t="s">
        <v>449</v>
      </c>
      <c r="E63" s="206">
        <v>1</v>
      </c>
      <c r="F63" s="209">
        <v>0.83</v>
      </c>
      <c r="G63" s="209">
        <f t="shared" si="5"/>
        <v>0.83</v>
      </c>
      <c r="H63" s="210">
        <v>1.4300999999999999</v>
      </c>
      <c r="I63" s="211" t="s">
        <v>864</v>
      </c>
      <c r="J63" s="212"/>
      <c r="AN63" s="131">
        <v>2</v>
      </c>
    </row>
    <row r="64" spans="1:40" s="131" customFormat="1" x14ac:dyDescent="0.2">
      <c r="A64" s="195" t="s">
        <v>237</v>
      </c>
      <c r="B64" s="222" t="s">
        <v>96</v>
      </c>
      <c r="C64" s="196" t="s">
        <v>892</v>
      </c>
      <c r="D64" s="197" t="s">
        <v>893</v>
      </c>
      <c r="E64" s="197">
        <v>1</v>
      </c>
      <c r="F64" s="197"/>
      <c r="G64" s="197"/>
      <c r="H64" s="195"/>
      <c r="I64" s="198"/>
      <c r="J64" s="199"/>
      <c r="AN64" s="131">
        <v>2</v>
      </c>
    </row>
    <row r="65" spans="1:40" s="131" customFormat="1" x14ac:dyDescent="0.2">
      <c r="A65" s="195" t="s">
        <v>237</v>
      </c>
      <c r="B65" s="222" t="s">
        <v>188</v>
      </c>
      <c r="C65" s="196" t="s">
        <v>894</v>
      </c>
      <c r="D65" s="197" t="s">
        <v>474</v>
      </c>
      <c r="E65" s="197">
        <v>1</v>
      </c>
      <c r="F65" s="207"/>
      <c r="G65" s="207" t="str">
        <f>""</f>
        <v/>
      </c>
      <c r="H65" s="195"/>
      <c r="I65" s="198"/>
      <c r="J65" s="199"/>
      <c r="AN65" s="131">
        <v>3</v>
      </c>
    </row>
    <row r="66" spans="1:40" s="131" customFormat="1" outlineLevel="1" x14ac:dyDescent="0.2">
      <c r="A66" s="195" t="s">
        <v>213</v>
      </c>
      <c r="B66" s="222" t="s">
        <v>334</v>
      </c>
      <c r="C66" s="200" t="s">
        <v>895</v>
      </c>
      <c r="D66" s="201" t="s">
        <v>282</v>
      </c>
      <c r="E66" s="201">
        <v>1</v>
      </c>
      <c r="F66" s="202">
        <v>0.80517821999999994</v>
      </c>
      <c r="G66" s="202">
        <f t="shared" ref="G66:G80" si="6">F66*E66</f>
        <v>0.80517821999999994</v>
      </c>
      <c r="H66" s="203" t="s">
        <v>126</v>
      </c>
      <c r="I66" s="204"/>
      <c r="J66" s="205"/>
      <c r="AN66" s="131">
        <v>4</v>
      </c>
    </row>
    <row r="67" spans="1:40" s="131" customFormat="1" outlineLevel="1" x14ac:dyDescent="0.2">
      <c r="A67" s="195" t="s">
        <v>213</v>
      </c>
      <c r="B67" s="222" t="s">
        <v>335</v>
      </c>
      <c r="C67" s="200" t="s">
        <v>896</v>
      </c>
      <c r="D67" s="201" t="s">
        <v>282</v>
      </c>
      <c r="E67" s="201">
        <v>1</v>
      </c>
      <c r="F67" s="202">
        <v>0.80699315000000005</v>
      </c>
      <c r="G67" s="202">
        <f t="shared" si="6"/>
        <v>0.80699315000000005</v>
      </c>
      <c r="H67" s="203" t="s">
        <v>126</v>
      </c>
      <c r="I67" s="204"/>
      <c r="J67" s="205"/>
      <c r="AN67" s="131">
        <v>4</v>
      </c>
    </row>
    <row r="68" spans="1:40" s="131" customFormat="1" outlineLevel="1" x14ac:dyDescent="0.2">
      <c r="A68" s="195" t="s">
        <v>213</v>
      </c>
      <c r="B68" s="222" t="s">
        <v>336</v>
      </c>
      <c r="C68" s="200" t="s">
        <v>387</v>
      </c>
      <c r="D68" s="201" t="s">
        <v>283</v>
      </c>
      <c r="E68" s="201">
        <v>2</v>
      </c>
      <c r="F68" s="202">
        <v>4.9778089999999997E-2</v>
      </c>
      <c r="G68" s="202">
        <f t="shared" si="6"/>
        <v>9.9556179999999994E-2</v>
      </c>
      <c r="H68" s="203" t="s">
        <v>126</v>
      </c>
      <c r="I68" s="204"/>
      <c r="J68" s="205"/>
      <c r="AN68" s="131">
        <v>4</v>
      </c>
    </row>
    <row r="69" spans="1:40" s="131" customFormat="1" outlineLevel="1" x14ac:dyDescent="0.2">
      <c r="A69" s="195" t="s">
        <v>213</v>
      </c>
      <c r="B69" s="222" t="s">
        <v>337</v>
      </c>
      <c r="C69" s="200" t="s">
        <v>897</v>
      </c>
      <c r="D69" s="201" t="s">
        <v>898</v>
      </c>
      <c r="E69" s="201">
        <v>1</v>
      </c>
      <c r="F69" s="202">
        <v>0.85590182000000004</v>
      </c>
      <c r="G69" s="202">
        <f t="shared" si="6"/>
        <v>0.85590182000000004</v>
      </c>
      <c r="H69" s="203" t="s">
        <v>126</v>
      </c>
      <c r="I69" s="204"/>
      <c r="J69" s="205"/>
      <c r="AN69" s="131">
        <v>4</v>
      </c>
    </row>
    <row r="70" spans="1:40" s="131" customFormat="1" outlineLevel="1" x14ac:dyDescent="0.2">
      <c r="A70" s="195" t="s">
        <v>213</v>
      </c>
      <c r="B70" s="222" t="s">
        <v>338</v>
      </c>
      <c r="C70" s="200" t="s">
        <v>899</v>
      </c>
      <c r="D70" s="201" t="s">
        <v>900</v>
      </c>
      <c r="E70" s="201">
        <v>1</v>
      </c>
      <c r="F70" s="202">
        <v>3.1060762999999998</v>
      </c>
      <c r="G70" s="202">
        <f t="shared" si="6"/>
        <v>3.1060762999999998</v>
      </c>
      <c r="H70" s="203" t="s">
        <v>126</v>
      </c>
      <c r="I70" s="204"/>
      <c r="J70" s="205"/>
      <c r="AN70" s="131">
        <v>4</v>
      </c>
    </row>
    <row r="71" spans="1:40" s="131" customFormat="1" outlineLevel="1" x14ac:dyDescent="0.2">
      <c r="A71" s="195" t="s">
        <v>213</v>
      </c>
      <c r="B71" s="222" t="s">
        <v>339</v>
      </c>
      <c r="C71" s="200" t="s">
        <v>901</v>
      </c>
      <c r="D71" s="201" t="s">
        <v>900</v>
      </c>
      <c r="E71" s="201">
        <v>1</v>
      </c>
      <c r="F71" s="202">
        <v>3.1060762999999998</v>
      </c>
      <c r="G71" s="202">
        <f t="shared" si="6"/>
        <v>3.1060762999999998</v>
      </c>
      <c r="H71" s="203" t="s">
        <v>126</v>
      </c>
      <c r="I71" s="204"/>
      <c r="J71" s="205"/>
      <c r="AN71" s="131">
        <v>4</v>
      </c>
    </row>
    <row r="72" spans="1:40" s="131" customFormat="1" outlineLevel="1" x14ac:dyDescent="0.2">
      <c r="A72" s="195" t="s">
        <v>213</v>
      </c>
      <c r="B72" s="222" t="s">
        <v>340</v>
      </c>
      <c r="C72" s="200" t="s">
        <v>902</v>
      </c>
      <c r="D72" s="201" t="s">
        <v>903</v>
      </c>
      <c r="E72" s="201">
        <v>1</v>
      </c>
      <c r="F72" s="202">
        <v>9.7949129999999995E-2</v>
      </c>
      <c r="G72" s="202">
        <f t="shared" si="6"/>
        <v>9.7949129999999995E-2</v>
      </c>
      <c r="H72" s="203" t="s">
        <v>126</v>
      </c>
      <c r="I72" s="204"/>
      <c r="J72" s="205"/>
      <c r="AN72" s="131">
        <v>4</v>
      </c>
    </row>
    <row r="73" spans="1:40" s="131" customFormat="1" outlineLevel="1" x14ac:dyDescent="0.2">
      <c r="A73" s="195" t="s">
        <v>213</v>
      </c>
      <c r="B73" s="222" t="s">
        <v>341</v>
      </c>
      <c r="C73" s="200" t="s">
        <v>388</v>
      </c>
      <c r="D73" s="201" t="s">
        <v>389</v>
      </c>
      <c r="E73" s="201">
        <v>1</v>
      </c>
      <c r="F73" s="202">
        <v>4.0646439999999999E-2</v>
      </c>
      <c r="G73" s="202">
        <f t="shared" si="6"/>
        <v>4.0646439999999999E-2</v>
      </c>
      <c r="H73" s="203" t="s">
        <v>126</v>
      </c>
      <c r="I73" s="204"/>
      <c r="J73" s="205"/>
      <c r="AN73" s="131">
        <v>4</v>
      </c>
    </row>
    <row r="74" spans="1:40" s="131" customFormat="1" outlineLevel="1" x14ac:dyDescent="0.2">
      <c r="A74" s="195" t="s">
        <v>213</v>
      </c>
      <c r="B74" s="222" t="s">
        <v>342</v>
      </c>
      <c r="C74" s="200" t="s">
        <v>904</v>
      </c>
      <c r="D74" s="201" t="s">
        <v>905</v>
      </c>
      <c r="E74" s="201">
        <v>1</v>
      </c>
      <c r="F74" s="202">
        <v>0.13606153000000001</v>
      </c>
      <c r="G74" s="202">
        <f t="shared" si="6"/>
        <v>0.13606153000000001</v>
      </c>
      <c r="H74" s="203" t="s">
        <v>126</v>
      </c>
      <c r="I74" s="204"/>
      <c r="J74" s="205"/>
      <c r="AN74" s="131">
        <v>4</v>
      </c>
    </row>
    <row r="75" spans="1:40" s="131" customFormat="1" outlineLevel="1" x14ac:dyDescent="0.2">
      <c r="A75" s="195" t="s">
        <v>213</v>
      </c>
      <c r="B75" s="222" t="s">
        <v>343</v>
      </c>
      <c r="C75" s="200" t="s">
        <v>906</v>
      </c>
      <c r="D75" s="201" t="s">
        <v>907</v>
      </c>
      <c r="E75" s="201">
        <v>2</v>
      </c>
      <c r="F75" s="202">
        <v>0.35531842000000002</v>
      </c>
      <c r="G75" s="202">
        <f t="shared" si="6"/>
        <v>0.71063684000000005</v>
      </c>
      <c r="H75" s="203" t="s">
        <v>126</v>
      </c>
      <c r="I75" s="204"/>
      <c r="J75" s="205"/>
      <c r="AN75" s="131">
        <v>4</v>
      </c>
    </row>
    <row r="76" spans="1:40" s="131" customFormat="1" outlineLevel="1" x14ac:dyDescent="0.2">
      <c r="A76" s="195" t="s">
        <v>213</v>
      </c>
      <c r="B76" s="222" t="s">
        <v>344</v>
      </c>
      <c r="C76" s="200" t="s">
        <v>908</v>
      </c>
      <c r="D76" s="201" t="s">
        <v>909</v>
      </c>
      <c r="E76" s="201">
        <v>2</v>
      </c>
      <c r="F76" s="202">
        <v>0.97465352000000005</v>
      </c>
      <c r="G76" s="202">
        <f t="shared" si="6"/>
        <v>1.9493070400000001</v>
      </c>
      <c r="H76" s="203" t="s">
        <v>126</v>
      </c>
      <c r="I76" s="204"/>
      <c r="J76" s="205"/>
      <c r="AN76" s="131">
        <v>4</v>
      </c>
    </row>
    <row r="77" spans="1:40" s="131" customFormat="1" outlineLevel="1" x14ac:dyDescent="0.2">
      <c r="A77" s="195" t="s">
        <v>213</v>
      </c>
      <c r="B77" s="222" t="s">
        <v>345</v>
      </c>
      <c r="C77" s="200" t="s">
        <v>910</v>
      </c>
      <c r="D77" s="201" t="s">
        <v>911</v>
      </c>
      <c r="E77" s="201">
        <v>2</v>
      </c>
      <c r="F77" s="202">
        <v>6.9490120000000002E-2</v>
      </c>
      <c r="G77" s="202">
        <f t="shared" si="6"/>
        <v>0.13898024</v>
      </c>
      <c r="H77" s="203" t="s">
        <v>126</v>
      </c>
      <c r="I77" s="204"/>
      <c r="J77" s="205"/>
      <c r="AN77" s="131">
        <v>4</v>
      </c>
    </row>
    <row r="78" spans="1:40" s="131" customFormat="1" outlineLevel="1" x14ac:dyDescent="0.2">
      <c r="A78" s="195" t="s">
        <v>213</v>
      </c>
      <c r="B78" s="222" t="s">
        <v>346</v>
      </c>
      <c r="C78" s="200" t="s">
        <v>912</v>
      </c>
      <c r="D78" s="201" t="s">
        <v>913</v>
      </c>
      <c r="E78" s="201">
        <v>2</v>
      </c>
      <c r="F78" s="202">
        <v>4.4249709999999998E-2</v>
      </c>
      <c r="G78" s="202">
        <f t="shared" si="6"/>
        <v>8.8499419999999995E-2</v>
      </c>
      <c r="H78" s="203" t="s">
        <v>126</v>
      </c>
      <c r="I78" s="204"/>
      <c r="J78" s="205"/>
      <c r="AN78" s="131">
        <v>4</v>
      </c>
    </row>
    <row r="79" spans="1:40" s="131" customFormat="1" outlineLevel="1" x14ac:dyDescent="0.2">
      <c r="A79" s="195" t="s">
        <v>213</v>
      </c>
      <c r="B79" s="222" t="s">
        <v>347</v>
      </c>
      <c r="C79" s="200" t="s">
        <v>914</v>
      </c>
      <c r="D79" s="201" t="s">
        <v>915</v>
      </c>
      <c r="E79" s="201">
        <v>1</v>
      </c>
      <c r="F79" s="202">
        <v>0.44933079999999997</v>
      </c>
      <c r="G79" s="202">
        <f t="shared" si="6"/>
        <v>0.44933079999999997</v>
      </c>
      <c r="H79" s="203" t="s">
        <v>126</v>
      </c>
      <c r="I79" s="204"/>
      <c r="J79" s="205"/>
      <c r="AN79" s="131">
        <v>4</v>
      </c>
    </row>
    <row r="80" spans="1:40" s="131" customFormat="1" outlineLevel="1" x14ac:dyDescent="0.2">
      <c r="A80" s="195" t="s">
        <v>162</v>
      </c>
      <c r="B80" s="222" t="s">
        <v>348</v>
      </c>
      <c r="C80" s="153" t="s">
        <v>284</v>
      </c>
      <c r="D80" s="154" t="s">
        <v>285</v>
      </c>
      <c r="E80" s="154">
        <v>4</v>
      </c>
      <c r="F80" s="155">
        <v>2.0882000000000001E-3</v>
      </c>
      <c r="G80" s="155">
        <f t="shared" si="6"/>
        <v>8.3528000000000005E-3</v>
      </c>
      <c r="H80" s="156"/>
      <c r="I80" s="157"/>
      <c r="J80" s="158"/>
      <c r="AN80" s="131">
        <v>4</v>
      </c>
    </row>
    <row r="81" spans="1:40" s="131" customFormat="1" x14ac:dyDescent="0.2">
      <c r="A81" s="195" t="s">
        <v>237</v>
      </c>
      <c r="B81" s="222" t="s">
        <v>189</v>
      </c>
      <c r="C81" s="196" t="s">
        <v>916</v>
      </c>
      <c r="D81" s="197" t="s">
        <v>513</v>
      </c>
      <c r="E81" s="197"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ht="25.5" outlineLevel="1" x14ac:dyDescent="0.2">
      <c r="A82" s="195" t="s">
        <v>213</v>
      </c>
      <c r="B82" s="222" t="s">
        <v>358</v>
      </c>
      <c r="C82" s="153" t="s">
        <v>917</v>
      </c>
      <c r="D82" s="154" t="s">
        <v>918</v>
      </c>
      <c r="E82" s="154">
        <v>1</v>
      </c>
      <c r="F82" s="155">
        <v>8</v>
      </c>
      <c r="G82" s="155">
        <f>F82*E82</f>
        <v>8</v>
      </c>
      <c r="H82" s="156" t="s">
        <v>366</v>
      </c>
      <c r="I82" s="157"/>
      <c r="J82" s="158" t="s">
        <v>362</v>
      </c>
      <c r="AN82" s="131">
        <v>4</v>
      </c>
    </row>
    <row r="83" spans="1:40" s="131" customFormat="1" ht="25.5" outlineLevel="1" x14ac:dyDescent="0.2">
      <c r="A83" s="195" t="s">
        <v>213</v>
      </c>
      <c r="B83" s="222" t="s">
        <v>359</v>
      </c>
      <c r="C83" s="153"/>
      <c r="D83" s="154" t="s">
        <v>919</v>
      </c>
      <c r="E83" s="154">
        <v>1</v>
      </c>
      <c r="F83" s="155">
        <v>0.8</v>
      </c>
      <c r="G83" s="155">
        <f>F83*E83</f>
        <v>0.8</v>
      </c>
      <c r="H83" s="156"/>
      <c r="I83" s="157"/>
      <c r="J83" s="158" t="s">
        <v>362</v>
      </c>
      <c r="AN83" s="131">
        <v>4</v>
      </c>
    </row>
    <row r="84" spans="1:40" s="131" customFormat="1" ht="25.5" outlineLevel="1" x14ac:dyDescent="0.2">
      <c r="A84" s="195" t="s">
        <v>213</v>
      </c>
      <c r="B84" s="222" t="s">
        <v>361</v>
      </c>
      <c r="C84" s="153" t="s">
        <v>523</v>
      </c>
      <c r="D84" s="154" t="s">
        <v>360</v>
      </c>
      <c r="E84" s="154">
        <v>8</v>
      </c>
      <c r="F84" s="155">
        <v>0</v>
      </c>
      <c r="G84" s="155">
        <f>F84*E84</f>
        <v>0</v>
      </c>
      <c r="H84" s="156"/>
      <c r="I84" s="157"/>
      <c r="J84" s="158"/>
      <c r="AN84" s="131">
        <v>4</v>
      </c>
    </row>
    <row r="85" spans="1:40" s="131" customFormat="1" x14ac:dyDescent="0.2">
      <c r="A85" s="195" t="s">
        <v>237</v>
      </c>
      <c r="B85" s="222" t="s">
        <v>189</v>
      </c>
      <c r="C85" s="196" t="s">
        <v>960</v>
      </c>
      <c r="D85" s="197" t="s">
        <v>513</v>
      </c>
      <c r="E85" s="197">
        <v>1</v>
      </c>
      <c r="F85" s="207"/>
      <c r="G85" s="207" t="str">
        <f>""</f>
        <v/>
      </c>
      <c r="H85" s="195"/>
      <c r="I85" s="198" t="s">
        <v>959</v>
      </c>
      <c r="J85" s="199"/>
      <c r="AN85" s="131">
        <v>3</v>
      </c>
    </row>
    <row r="86" spans="1:40" s="131" customFormat="1" ht="25.5" outlineLevel="1" x14ac:dyDescent="0.2">
      <c r="A86" s="195" t="s">
        <v>213</v>
      </c>
      <c r="B86" s="222" t="s">
        <v>358</v>
      </c>
      <c r="C86" s="153" t="s">
        <v>961</v>
      </c>
      <c r="D86" s="154" t="s">
        <v>918</v>
      </c>
      <c r="E86" s="154">
        <v>1</v>
      </c>
      <c r="F86" s="155">
        <v>8</v>
      </c>
      <c r="G86" s="155">
        <f>F86*E86</f>
        <v>8</v>
      </c>
      <c r="H86" s="156" t="s">
        <v>366</v>
      </c>
      <c r="I86" s="198" t="s">
        <v>959</v>
      </c>
      <c r="J86" s="158" t="s">
        <v>362</v>
      </c>
      <c r="AN86" s="131">
        <v>4</v>
      </c>
    </row>
    <row r="87" spans="1:40" s="131" customFormat="1" ht="25.5" outlineLevel="1" x14ac:dyDescent="0.2">
      <c r="A87" s="195" t="s">
        <v>213</v>
      </c>
      <c r="B87" s="222" t="s">
        <v>359</v>
      </c>
      <c r="C87" s="153"/>
      <c r="D87" s="154" t="s">
        <v>919</v>
      </c>
      <c r="E87" s="154">
        <v>1</v>
      </c>
      <c r="F87" s="155">
        <v>0.8</v>
      </c>
      <c r="G87" s="155">
        <f>F87*E87</f>
        <v>0.8</v>
      </c>
      <c r="H87" s="156"/>
      <c r="I87" s="198" t="s">
        <v>959</v>
      </c>
      <c r="J87" s="158" t="s">
        <v>362</v>
      </c>
      <c r="AN87" s="131">
        <v>4</v>
      </c>
    </row>
    <row r="88" spans="1:40" s="131" customFormat="1" ht="25.5" outlineLevel="1" x14ac:dyDescent="0.2">
      <c r="A88" s="195" t="s">
        <v>213</v>
      </c>
      <c r="B88" s="222" t="s">
        <v>361</v>
      </c>
      <c r="C88" s="153" t="s">
        <v>523</v>
      </c>
      <c r="D88" s="154" t="s">
        <v>360</v>
      </c>
      <c r="E88" s="154">
        <v>8</v>
      </c>
      <c r="F88" s="155">
        <v>0</v>
      </c>
      <c r="G88" s="155">
        <f>F88*E88</f>
        <v>0</v>
      </c>
      <c r="H88" s="156"/>
      <c r="I88" s="198" t="s">
        <v>959</v>
      </c>
      <c r="J88" s="158"/>
      <c r="AN88" s="131">
        <v>4</v>
      </c>
    </row>
    <row r="89" spans="1:40" s="131" customFormat="1" x14ac:dyDescent="0.2">
      <c r="A89" s="195" t="s">
        <v>237</v>
      </c>
      <c r="B89" s="222" t="s">
        <v>190</v>
      </c>
      <c r="C89" s="196" t="s">
        <v>920</v>
      </c>
      <c r="D89" s="197" t="s">
        <v>525</v>
      </c>
      <c r="E89" s="197">
        <v>1</v>
      </c>
      <c r="F89" s="207"/>
      <c r="G89" s="207" t="str">
        <f>""</f>
        <v/>
      </c>
      <c r="H89" s="195"/>
      <c r="I89" s="198" t="s">
        <v>948</v>
      </c>
      <c r="J89" s="199"/>
      <c r="AN89" s="131">
        <v>3</v>
      </c>
    </row>
    <row r="90" spans="1:40" s="131" customFormat="1" ht="25.5" outlineLevel="1" x14ac:dyDescent="0.2">
      <c r="A90" s="195" t="s">
        <v>213</v>
      </c>
      <c r="B90" s="222" t="s">
        <v>363</v>
      </c>
      <c r="C90" s="153" t="s">
        <v>921</v>
      </c>
      <c r="D90" s="154" t="s">
        <v>922</v>
      </c>
      <c r="E90" s="154">
        <v>1</v>
      </c>
      <c r="F90" s="155">
        <v>2.06</v>
      </c>
      <c r="G90" s="155">
        <f>F90*E90</f>
        <v>2.06</v>
      </c>
      <c r="H90" s="156" t="s">
        <v>366</v>
      </c>
      <c r="I90" s="198" t="s">
        <v>948</v>
      </c>
      <c r="J90" s="158" t="s">
        <v>362</v>
      </c>
      <c r="AN90" s="131">
        <v>4</v>
      </c>
    </row>
    <row r="91" spans="1:40" s="131" customFormat="1" ht="25.5" outlineLevel="1" x14ac:dyDescent="0.2">
      <c r="A91" s="195" t="s">
        <v>213</v>
      </c>
      <c r="B91" s="222" t="s">
        <v>364</v>
      </c>
      <c r="C91" s="153"/>
      <c r="D91" s="154" t="s">
        <v>923</v>
      </c>
      <c r="E91" s="154">
        <v>1</v>
      </c>
      <c r="F91" s="155">
        <v>0.3</v>
      </c>
      <c r="G91" s="155">
        <f>F91*E91</f>
        <v>0.3</v>
      </c>
      <c r="H91" s="156"/>
      <c r="I91" s="198" t="s">
        <v>948</v>
      </c>
      <c r="J91" s="158" t="s">
        <v>362</v>
      </c>
      <c r="AN91" s="131">
        <v>4</v>
      </c>
    </row>
    <row r="92" spans="1:40" s="131" customFormat="1" ht="25.5" outlineLevel="1" x14ac:dyDescent="0.2">
      <c r="A92" s="195" t="s">
        <v>213</v>
      </c>
      <c r="B92" s="222" t="s">
        <v>365</v>
      </c>
      <c r="C92" s="153" t="s">
        <v>523</v>
      </c>
      <c r="D92" s="154" t="s">
        <v>360</v>
      </c>
      <c r="E92" s="154">
        <v>7</v>
      </c>
      <c r="F92" s="155">
        <v>0</v>
      </c>
      <c r="G92" s="155">
        <f>F92*E92</f>
        <v>0</v>
      </c>
      <c r="H92" s="156"/>
      <c r="I92" s="198" t="s">
        <v>948</v>
      </c>
      <c r="J92" s="158"/>
      <c r="AN92" s="131">
        <v>4</v>
      </c>
    </row>
    <row r="93" spans="1:40" s="131" customFormat="1" x14ac:dyDescent="0.2">
      <c r="A93" s="195" t="s">
        <v>237</v>
      </c>
      <c r="B93" s="222" t="s">
        <v>191</v>
      </c>
      <c r="C93" s="196" t="s">
        <v>579</v>
      </c>
      <c r="D93" s="197" t="s">
        <v>580</v>
      </c>
      <c r="E93" s="197">
        <v>1</v>
      </c>
      <c r="F93" s="207"/>
      <c r="G93" s="207" t="str">
        <f>""</f>
        <v/>
      </c>
      <c r="H93" s="195"/>
      <c r="I93" s="198"/>
      <c r="J93" s="199"/>
      <c r="AN93" s="131">
        <v>3</v>
      </c>
    </row>
    <row r="94" spans="1:40" s="131" customFormat="1" outlineLevel="1" x14ac:dyDescent="0.2">
      <c r="A94" s="195" t="s">
        <v>213</v>
      </c>
      <c r="B94" s="222" t="s">
        <v>349</v>
      </c>
      <c r="C94" s="200" t="s">
        <v>390</v>
      </c>
      <c r="D94" s="201" t="s">
        <v>391</v>
      </c>
      <c r="E94" s="201">
        <v>1</v>
      </c>
      <c r="F94" s="202">
        <v>0.14000000000000001</v>
      </c>
      <c r="G94" s="202">
        <f t="shared" ref="G94:G100" si="7">F94*E94</f>
        <v>0.14000000000000001</v>
      </c>
      <c r="H94" s="203" t="s">
        <v>126</v>
      </c>
      <c r="I94" s="204"/>
      <c r="J94" s="205"/>
      <c r="AN94" s="131">
        <v>4</v>
      </c>
    </row>
    <row r="95" spans="1:40" s="131" customFormat="1" outlineLevel="1" x14ac:dyDescent="0.2">
      <c r="A95" s="195" t="s">
        <v>213</v>
      </c>
      <c r="B95" s="222" t="s">
        <v>350</v>
      </c>
      <c r="C95" s="200" t="s">
        <v>583</v>
      </c>
      <c r="D95" s="201" t="s">
        <v>286</v>
      </c>
      <c r="E95" s="201">
        <v>1</v>
      </c>
      <c r="F95" s="202">
        <v>0.47</v>
      </c>
      <c r="G95" s="202">
        <f t="shared" si="7"/>
        <v>0.47</v>
      </c>
      <c r="H95" s="203" t="s">
        <v>126</v>
      </c>
      <c r="I95" s="204"/>
      <c r="J95" s="205"/>
      <c r="AN95" s="131">
        <v>4</v>
      </c>
    </row>
    <row r="96" spans="1:40" s="131" customFormat="1" outlineLevel="1" x14ac:dyDescent="0.2">
      <c r="A96" s="195" t="s">
        <v>213</v>
      </c>
      <c r="B96" s="222" t="s">
        <v>351</v>
      </c>
      <c r="C96" s="200" t="s">
        <v>585</v>
      </c>
      <c r="D96" s="201" t="s">
        <v>286</v>
      </c>
      <c r="E96" s="201">
        <v>1</v>
      </c>
      <c r="F96" s="202">
        <v>0.47</v>
      </c>
      <c r="G96" s="202">
        <f t="shared" si="7"/>
        <v>0.47</v>
      </c>
      <c r="H96" s="203" t="s">
        <v>126</v>
      </c>
      <c r="I96" s="204"/>
      <c r="J96" s="205"/>
      <c r="AN96" s="131">
        <v>4</v>
      </c>
    </row>
    <row r="97" spans="1:40" s="131" customFormat="1" outlineLevel="1" x14ac:dyDescent="0.2">
      <c r="A97" s="195" t="s">
        <v>213</v>
      </c>
      <c r="B97" s="222" t="s">
        <v>924</v>
      </c>
      <c r="C97" s="200" t="s">
        <v>288</v>
      </c>
      <c r="D97" s="201" t="s">
        <v>287</v>
      </c>
      <c r="E97" s="201">
        <v>1</v>
      </c>
      <c r="F97" s="202">
        <v>0.45</v>
      </c>
      <c r="G97" s="202">
        <f t="shared" si="7"/>
        <v>0.45</v>
      </c>
      <c r="H97" s="203" t="s">
        <v>126</v>
      </c>
      <c r="I97" s="204"/>
      <c r="J97" s="205"/>
      <c r="AN97" s="131">
        <v>4</v>
      </c>
    </row>
    <row r="98" spans="1:40" s="131" customFormat="1" outlineLevel="1" x14ac:dyDescent="0.2">
      <c r="A98" s="195" t="s">
        <v>213</v>
      </c>
      <c r="B98" s="222" t="s">
        <v>925</v>
      </c>
      <c r="C98" s="200" t="s">
        <v>588</v>
      </c>
      <c r="D98" s="201" t="s">
        <v>589</v>
      </c>
      <c r="E98" s="201">
        <v>3</v>
      </c>
      <c r="F98" s="202">
        <v>0.01</v>
      </c>
      <c r="G98" s="202">
        <f t="shared" si="7"/>
        <v>0.03</v>
      </c>
      <c r="H98" s="203" t="s">
        <v>126</v>
      </c>
      <c r="I98" s="204"/>
      <c r="J98" s="205"/>
      <c r="AN98" s="131">
        <v>4</v>
      </c>
    </row>
    <row r="99" spans="1:40" s="131" customFormat="1" outlineLevel="1" x14ac:dyDescent="0.2">
      <c r="A99" s="195" t="s">
        <v>213</v>
      </c>
      <c r="B99" s="222" t="s">
        <v>926</v>
      </c>
      <c r="C99" s="200" t="s">
        <v>392</v>
      </c>
      <c r="D99" s="201" t="s">
        <v>289</v>
      </c>
      <c r="E99" s="201">
        <v>2</v>
      </c>
      <c r="F99" s="202">
        <v>0.01</v>
      </c>
      <c r="G99" s="202">
        <f t="shared" si="7"/>
        <v>0.02</v>
      </c>
      <c r="H99" s="203" t="s">
        <v>126</v>
      </c>
      <c r="I99" s="204"/>
      <c r="J99" s="205"/>
      <c r="AN99" s="131">
        <v>4</v>
      </c>
    </row>
    <row r="100" spans="1:40" s="131" customFormat="1" outlineLevel="1" x14ac:dyDescent="0.2">
      <c r="A100" s="195" t="s">
        <v>213</v>
      </c>
      <c r="B100" s="222" t="s">
        <v>927</v>
      </c>
      <c r="C100" s="200" t="s">
        <v>592</v>
      </c>
      <c r="D100" s="201" t="s">
        <v>287</v>
      </c>
      <c r="E100" s="201">
        <v>1</v>
      </c>
      <c r="F100" s="202">
        <v>0.45</v>
      </c>
      <c r="G100" s="202">
        <f t="shared" si="7"/>
        <v>0.45</v>
      </c>
      <c r="H100" s="203" t="s">
        <v>126</v>
      </c>
      <c r="I100" s="204"/>
      <c r="J100" s="205"/>
      <c r="AN100" s="131">
        <v>4</v>
      </c>
    </row>
    <row r="101" spans="1:40" s="131" customFormat="1" x14ac:dyDescent="0.2">
      <c r="A101" s="195" t="s">
        <v>237</v>
      </c>
      <c r="B101" s="222" t="s">
        <v>192</v>
      </c>
      <c r="C101" s="196" t="s">
        <v>605</v>
      </c>
      <c r="D101" s="197" t="s">
        <v>606</v>
      </c>
      <c r="E101" s="197">
        <v>1</v>
      </c>
      <c r="F101" s="207"/>
      <c r="G101" s="207" t="str">
        <f>""</f>
        <v/>
      </c>
      <c r="H101" s="195"/>
      <c r="I101" s="198"/>
      <c r="J101" s="199"/>
      <c r="AN101" s="131">
        <v>3</v>
      </c>
    </row>
    <row r="102" spans="1:40" s="131" customFormat="1" outlineLevel="1" x14ac:dyDescent="0.2">
      <c r="A102" s="195" t="s">
        <v>213</v>
      </c>
      <c r="B102" s="222" t="s">
        <v>352</v>
      </c>
      <c r="C102" s="200" t="s">
        <v>608</v>
      </c>
      <c r="D102" s="201" t="s">
        <v>609</v>
      </c>
      <c r="E102" s="201">
        <v>1</v>
      </c>
      <c r="F102" s="202">
        <v>0.09</v>
      </c>
      <c r="G102" s="202">
        <f t="shared" ref="G102:G134" si="8">F102*E102</f>
        <v>0.09</v>
      </c>
      <c r="H102" s="203" t="s">
        <v>126</v>
      </c>
      <c r="I102" s="204"/>
      <c r="J102" s="205"/>
      <c r="AN102" s="131">
        <v>4</v>
      </c>
    </row>
    <row r="103" spans="1:40" s="131" customFormat="1" outlineLevel="1" x14ac:dyDescent="0.2">
      <c r="A103" s="195" t="s">
        <v>213</v>
      </c>
      <c r="B103" s="222" t="s">
        <v>353</v>
      </c>
      <c r="C103" s="200" t="s">
        <v>611</v>
      </c>
      <c r="D103" s="201" t="s">
        <v>393</v>
      </c>
      <c r="E103" s="201">
        <v>1</v>
      </c>
      <c r="F103" s="202">
        <v>0</v>
      </c>
      <c r="G103" s="202">
        <f t="shared" si="8"/>
        <v>0</v>
      </c>
      <c r="H103" s="203" t="s">
        <v>126</v>
      </c>
      <c r="I103" s="204"/>
      <c r="J103" s="205"/>
      <c r="AN103" s="131">
        <v>4</v>
      </c>
    </row>
    <row r="104" spans="1:40" s="131" customFormat="1" outlineLevel="1" x14ac:dyDescent="0.2">
      <c r="A104" s="195" t="s">
        <v>213</v>
      </c>
      <c r="B104" s="222" t="s">
        <v>354</v>
      </c>
      <c r="C104" s="200" t="s">
        <v>613</v>
      </c>
      <c r="D104" s="201" t="s">
        <v>394</v>
      </c>
      <c r="E104" s="201">
        <v>1</v>
      </c>
      <c r="F104" s="202">
        <v>0.02</v>
      </c>
      <c r="G104" s="202">
        <f t="shared" si="8"/>
        <v>0.02</v>
      </c>
      <c r="H104" s="203" t="s">
        <v>126</v>
      </c>
      <c r="I104" s="204"/>
      <c r="J104" s="205"/>
      <c r="AN104" s="131">
        <v>4</v>
      </c>
    </row>
    <row r="105" spans="1:40" s="131" customFormat="1" x14ac:dyDescent="0.2">
      <c r="A105" s="195" t="s">
        <v>237</v>
      </c>
      <c r="B105" s="222" t="s">
        <v>192</v>
      </c>
      <c r="C105" s="196" t="s">
        <v>877</v>
      </c>
      <c r="D105" s="197" t="s">
        <v>606</v>
      </c>
      <c r="E105" s="197">
        <v>1</v>
      </c>
      <c r="F105" s="197"/>
      <c r="G105" s="197"/>
      <c r="H105" s="195"/>
      <c r="I105" s="198" t="s">
        <v>864</v>
      </c>
      <c r="J105" s="199"/>
      <c r="AN105" s="131">
        <v>3</v>
      </c>
    </row>
    <row r="106" spans="1:40" s="131" customFormat="1" x14ac:dyDescent="0.2">
      <c r="A106" s="195" t="s">
        <v>213</v>
      </c>
      <c r="B106" s="222" t="s">
        <v>352</v>
      </c>
      <c r="C106" s="200" t="s">
        <v>878</v>
      </c>
      <c r="D106" s="201" t="s">
        <v>609</v>
      </c>
      <c r="E106" s="201">
        <v>1</v>
      </c>
      <c r="F106" s="202">
        <v>0.09</v>
      </c>
      <c r="G106" s="202">
        <f>F106*E106</f>
        <v>0.09</v>
      </c>
      <c r="H106" s="203">
        <v>1.4300999999999999</v>
      </c>
      <c r="I106" s="198" t="s">
        <v>864</v>
      </c>
      <c r="J106" s="205"/>
      <c r="AN106" s="131">
        <v>4</v>
      </c>
    </row>
    <row r="107" spans="1:40" s="131" customFormat="1" x14ac:dyDescent="0.2">
      <c r="A107" s="195" t="s">
        <v>213</v>
      </c>
      <c r="B107" s="222" t="s">
        <v>353</v>
      </c>
      <c r="C107" s="200" t="s">
        <v>879</v>
      </c>
      <c r="D107" s="201" t="s">
        <v>393</v>
      </c>
      <c r="E107" s="201">
        <v>1</v>
      </c>
      <c r="F107" s="202">
        <v>0</v>
      </c>
      <c r="G107" s="202">
        <f>F107*E107</f>
        <v>0</v>
      </c>
      <c r="H107" s="203">
        <v>1.4300999999999999</v>
      </c>
      <c r="I107" s="198" t="s">
        <v>864</v>
      </c>
      <c r="J107" s="205"/>
      <c r="AN107" s="131">
        <v>4</v>
      </c>
    </row>
    <row r="108" spans="1:40" s="131" customFormat="1" x14ac:dyDescent="0.2">
      <c r="A108" s="195" t="s">
        <v>213</v>
      </c>
      <c r="B108" s="222" t="s">
        <v>354</v>
      </c>
      <c r="C108" s="200" t="s">
        <v>880</v>
      </c>
      <c r="D108" s="201" t="s">
        <v>394</v>
      </c>
      <c r="E108" s="201">
        <v>1</v>
      </c>
      <c r="F108" s="202">
        <v>0.02</v>
      </c>
      <c r="G108" s="202">
        <f>F108*E108</f>
        <v>0.02</v>
      </c>
      <c r="H108" s="203">
        <v>1.4300999999999999</v>
      </c>
      <c r="I108" s="198" t="s">
        <v>864</v>
      </c>
      <c r="J108" s="205"/>
      <c r="AN108" s="131">
        <v>4</v>
      </c>
    </row>
    <row r="109" spans="1:40" s="131" customFormat="1" x14ac:dyDescent="0.2">
      <c r="A109" s="195" t="s">
        <v>213</v>
      </c>
      <c r="B109" s="222" t="s">
        <v>193</v>
      </c>
      <c r="C109" s="208" t="s">
        <v>928</v>
      </c>
      <c r="D109" s="206" t="s">
        <v>164</v>
      </c>
      <c r="E109" s="206">
        <v>1</v>
      </c>
      <c r="F109" s="209">
        <v>4.6240870000000003E-2</v>
      </c>
      <c r="G109" s="209">
        <f t="shared" si="8"/>
        <v>4.6240870000000003E-2</v>
      </c>
      <c r="H109" s="210">
        <v>1.4300999999999999</v>
      </c>
      <c r="I109" s="211"/>
      <c r="J109" s="212"/>
      <c r="AN109" s="131">
        <v>3</v>
      </c>
    </row>
    <row r="110" spans="1:40" s="131" customFormat="1" x14ac:dyDescent="0.2">
      <c r="A110" s="195" t="s">
        <v>213</v>
      </c>
      <c r="B110" s="222" t="s">
        <v>194</v>
      </c>
      <c r="C110" s="208" t="s">
        <v>929</v>
      </c>
      <c r="D110" s="206" t="s">
        <v>930</v>
      </c>
      <c r="E110" s="206">
        <v>1</v>
      </c>
      <c r="F110" s="209">
        <v>0.10538092</v>
      </c>
      <c r="G110" s="209">
        <f t="shared" si="8"/>
        <v>0.10538092</v>
      </c>
      <c r="H110" s="210">
        <v>1.4300999999999999</v>
      </c>
      <c r="I110" s="211"/>
      <c r="J110" s="212"/>
      <c r="AN110" s="131">
        <v>3</v>
      </c>
    </row>
    <row r="111" spans="1:40" s="131" customFormat="1" x14ac:dyDescent="0.2">
      <c r="A111" s="195" t="s">
        <v>213</v>
      </c>
      <c r="B111" s="222" t="s">
        <v>195</v>
      </c>
      <c r="C111" s="208" t="s">
        <v>408</v>
      </c>
      <c r="D111" s="206" t="s">
        <v>409</v>
      </c>
      <c r="E111" s="206">
        <v>1</v>
      </c>
      <c r="F111" s="209">
        <v>2.2636400000000001E-2</v>
      </c>
      <c r="G111" s="209">
        <f t="shared" si="8"/>
        <v>2.2636400000000001E-2</v>
      </c>
      <c r="H111" s="210">
        <v>1.4300999999999999</v>
      </c>
      <c r="I111" s="211"/>
      <c r="J111" s="212"/>
      <c r="AN111" s="131">
        <v>3</v>
      </c>
    </row>
    <row r="112" spans="1:40" s="131" customFormat="1" x14ac:dyDescent="0.2">
      <c r="A112" s="195" t="s">
        <v>213</v>
      </c>
      <c r="B112" s="222" t="s">
        <v>196</v>
      </c>
      <c r="C112" s="208" t="s">
        <v>410</v>
      </c>
      <c r="D112" s="206" t="s">
        <v>411</v>
      </c>
      <c r="E112" s="206">
        <v>1</v>
      </c>
      <c r="F112" s="209">
        <v>1.13347E-2</v>
      </c>
      <c r="G112" s="209">
        <f t="shared" si="8"/>
        <v>1.13347E-2</v>
      </c>
      <c r="H112" s="210">
        <v>1.4300999999999999</v>
      </c>
      <c r="I112" s="211"/>
      <c r="J112" s="212"/>
      <c r="AN112" s="131">
        <v>3</v>
      </c>
    </row>
    <row r="113" spans="1:40" s="131" customFormat="1" x14ac:dyDescent="0.2">
      <c r="A113" s="195" t="s">
        <v>213</v>
      </c>
      <c r="B113" s="222" t="s">
        <v>197</v>
      </c>
      <c r="C113" s="208" t="s">
        <v>165</v>
      </c>
      <c r="D113" s="206" t="s">
        <v>166</v>
      </c>
      <c r="E113" s="206">
        <v>1</v>
      </c>
      <c r="F113" s="209">
        <v>1.7792809999999999E-2</v>
      </c>
      <c r="G113" s="209">
        <f t="shared" si="8"/>
        <v>1.7792809999999999E-2</v>
      </c>
      <c r="H113" s="210">
        <v>1.4300999999999999</v>
      </c>
      <c r="I113" s="211"/>
      <c r="J113" s="212"/>
      <c r="AN113" s="131">
        <v>3</v>
      </c>
    </row>
    <row r="114" spans="1:40" s="131" customFormat="1" x14ac:dyDescent="0.2">
      <c r="A114" s="195" t="s">
        <v>213</v>
      </c>
      <c r="B114" s="222" t="s">
        <v>198</v>
      </c>
      <c r="C114" s="208" t="s">
        <v>931</v>
      </c>
      <c r="D114" s="206" t="s">
        <v>932</v>
      </c>
      <c r="E114" s="206">
        <v>2</v>
      </c>
      <c r="F114" s="209">
        <v>7.2167899999999998E-3</v>
      </c>
      <c r="G114" s="209">
        <f t="shared" si="8"/>
        <v>1.443358E-2</v>
      </c>
      <c r="H114" s="210" t="s">
        <v>167</v>
      </c>
      <c r="I114" s="211"/>
      <c r="J114" s="212"/>
      <c r="AN114" s="131">
        <v>3</v>
      </c>
    </row>
    <row r="115" spans="1:40" s="131" customFormat="1" x14ac:dyDescent="0.2">
      <c r="A115" s="195" t="s">
        <v>213</v>
      </c>
      <c r="B115" s="222" t="s">
        <v>199</v>
      </c>
      <c r="C115" s="208" t="s">
        <v>168</v>
      </c>
      <c r="D115" s="206" t="s">
        <v>169</v>
      </c>
      <c r="E115" s="206">
        <v>2</v>
      </c>
      <c r="F115" s="209">
        <v>3.3659599999999999E-3</v>
      </c>
      <c r="G115" s="209">
        <f t="shared" si="8"/>
        <v>6.7319199999999997E-3</v>
      </c>
      <c r="H115" s="210" t="s">
        <v>167</v>
      </c>
      <c r="I115" s="211"/>
      <c r="J115" s="212"/>
      <c r="AN115" s="131">
        <v>3</v>
      </c>
    </row>
    <row r="116" spans="1:40" s="131" customFormat="1" ht="25.5" x14ac:dyDescent="0.2">
      <c r="A116" s="195" t="s">
        <v>213</v>
      </c>
      <c r="B116" s="222" t="s">
        <v>200</v>
      </c>
      <c r="C116" s="153" t="s">
        <v>736</v>
      </c>
      <c r="D116" s="154" t="s">
        <v>933</v>
      </c>
      <c r="E116" s="154">
        <v>1</v>
      </c>
      <c r="F116" s="155">
        <v>0</v>
      </c>
      <c r="G116" s="155">
        <f t="shared" si="8"/>
        <v>0</v>
      </c>
      <c r="H116" s="156"/>
      <c r="I116" s="157"/>
      <c r="J116" s="158" t="s">
        <v>362</v>
      </c>
      <c r="AN116" s="131">
        <v>3</v>
      </c>
    </row>
    <row r="117" spans="1:40" s="131" customFormat="1" x14ac:dyDescent="0.2">
      <c r="A117" s="195" t="s">
        <v>213</v>
      </c>
      <c r="B117" s="222" t="s">
        <v>201</v>
      </c>
      <c r="C117" s="153" t="s">
        <v>170</v>
      </c>
      <c r="D117" s="154" t="s">
        <v>171</v>
      </c>
      <c r="E117" s="154">
        <v>1</v>
      </c>
      <c r="F117" s="155">
        <v>0.17219482</v>
      </c>
      <c r="G117" s="155">
        <f t="shared" si="8"/>
        <v>0.17219482</v>
      </c>
      <c r="H117" s="156"/>
      <c r="I117" s="157"/>
      <c r="J117" s="158" t="s">
        <v>965</v>
      </c>
      <c r="AN117" s="131">
        <v>3</v>
      </c>
    </row>
    <row r="118" spans="1:40" s="131" customFormat="1" x14ac:dyDescent="0.2">
      <c r="A118" s="195" t="s">
        <v>213</v>
      </c>
      <c r="B118" s="222" t="s">
        <v>202</v>
      </c>
      <c r="C118" s="153">
        <v>29771</v>
      </c>
      <c r="D118" s="154" t="s">
        <v>748</v>
      </c>
      <c r="E118" s="154">
        <v>2</v>
      </c>
      <c r="F118" s="155">
        <v>0.1</v>
      </c>
      <c r="G118" s="155">
        <f t="shared" si="8"/>
        <v>0.2</v>
      </c>
      <c r="H118" s="156"/>
      <c r="I118" s="157"/>
      <c r="J118" s="158"/>
      <c r="AN118" s="131">
        <v>3</v>
      </c>
    </row>
    <row r="119" spans="1:40" s="131" customFormat="1" x14ac:dyDescent="0.2">
      <c r="A119" s="195" t="s">
        <v>213</v>
      </c>
      <c r="B119" s="222" t="s">
        <v>203</v>
      </c>
      <c r="C119" s="153" t="s">
        <v>757</v>
      </c>
      <c r="D119" s="154" t="s">
        <v>758</v>
      </c>
      <c r="E119" s="154">
        <v>2</v>
      </c>
      <c r="F119" s="155">
        <v>4.82666E-3</v>
      </c>
      <c r="G119" s="155">
        <f t="shared" si="8"/>
        <v>9.65332E-3</v>
      </c>
      <c r="H119" s="156"/>
      <c r="I119" s="157"/>
      <c r="J119" s="158" t="s">
        <v>964</v>
      </c>
      <c r="AN119" s="131">
        <v>3</v>
      </c>
    </row>
    <row r="120" spans="1:40" s="131" customFormat="1" x14ac:dyDescent="0.2">
      <c r="A120" s="195" t="s">
        <v>213</v>
      </c>
      <c r="B120" s="222" t="s">
        <v>204</v>
      </c>
      <c r="C120" s="153" t="s">
        <v>172</v>
      </c>
      <c r="D120" s="154" t="s">
        <v>173</v>
      </c>
      <c r="E120" s="154">
        <v>15</v>
      </c>
      <c r="F120" s="155">
        <v>6.1737000000000001E-4</v>
      </c>
      <c r="G120" s="155">
        <f t="shared" si="8"/>
        <v>9.2605499999999993E-3</v>
      </c>
      <c r="H120" s="156"/>
      <c r="I120" s="157"/>
      <c r="J120" s="158"/>
      <c r="AN120" s="131">
        <v>3</v>
      </c>
    </row>
    <row r="121" spans="1:40" s="131" customFormat="1" x14ac:dyDescent="0.2">
      <c r="A121" s="195" t="s">
        <v>213</v>
      </c>
      <c r="B121" s="222" t="s">
        <v>205</v>
      </c>
      <c r="C121" s="153" t="s">
        <v>946</v>
      </c>
      <c r="D121" s="154" t="s">
        <v>947</v>
      </c>
      <c r="E121" s="154">
        <v>8</v>
      </c>
      <c r="F121" s="155">
        <v>2.8051999999999998E-4</v>
      </c>
      <c r="G121" s="155">
        <f>F121*E121</f>
        <v>2.2441599999999998E-3</v>
      </c>
      <c r="H121" s="156"/>
      <c r="I121" s="157" t="s">
        <v>948</v>
      </c>
      <c r="J121" s="158"/>
      <c r="AN121" s="131">
        <v>3</v>
      </c>
    </row>
    <row r="122" spans="1:40" s="131" customFormat="1" x14ac:dyDescent="0.2">
      <c r="A122" s="195" t="s">
        <v>213</v>
      </c>
      <c r="B122" s="222" t="s">
        <v>206</v>
      </c>
      <c r="C122" s="153" t="s">
        <v>934</v>
      </c>
      <c r="D122" s="154" t="s">
        <v>935</v>
      </c>
      <c r="E122" s="154">
        <v>2</v>
      </c>
      <c r="F122" s="155">
        <v>2.4437460000000001E-2</v>
      </c>
      <c r="G122" s="155">
        <f t="shared" si="8"/>
        <v>4.8874920000000002E-2</v>
      </c>
      <c r="H122" s="156"/>
      <c r="I122" s="157"/>
      <c r="J122" s="158" t="s">
        <v>973</v>
      </c>
      <c r="AN122" s="131">
        <v>3</v>
      </c>
    </row>
    <row r="123" spans="1:40" s="131" customFormat="1" x14ac:dyDescent="0.2">
      <c r="A123" s="195" t="s">
        <v>213</v>
      </c>
      <c r="B123" s="222" t="s">
        <v>207</v>
      </c>
      <c r="C123" s="153" t="s">
        <v>138</v>
      </c>
      <c r="D123" s="154" t="s">
        <v>139</v>
      </c>
      <c r="E123" s="154">
        <v>1</v>
      </c>
      <c r="F123" s="155">
        <v>1.469064E-2</v>
      </c>
      <c r="G123" s="155">
        <f t="shared" si="8"/>
        <v>1.469064E-2</v>
      </c>
      <c r="H123" s="156"/>
      <c r="I123" s="157"/>
      <c r="J123" s="158" t="s">
        <v>964</v>
      </c>
      <c r="AN123" s="131">
        <v>3</v>
      </c>
    </row>
    <row r="124" spans="1:40" s="131" customFormat="1" x14ac:dyDescent="0.2">
      <c r="A124" s="195" t="s">
        <v>213</v>
      </c>
      <c r="B124" s="222" t="s">
        <v>208</v>
      </c>
      <c r="C124" s="153" t="s">
        <v>174</v>
      </c>
      <c r="D124" s="154" t="s">
        <v>175</v>
      </c>
      <c r="E124" s="154">
        <v>2</v>
      </c>
      <c r="F124" s="155">
        <v>2.1626999999999999E-4</v>
      </c>
      <c r="G124" s="155">
        <f t="shared" si="8"/>
        <v>4.3253999999999998E-4</v>
      </c>
      <c r="H124" s="156"/>
      <c r="I124" s="157"/>
      <c r="J124" s="158" t="s">
        <v>966</v>
      </c>
      <c r="AN124" s="131">
        <v>3</v>
      </c>
    </row>
    <row r="125" spans="1:40" s="131" customFormat="1" x14ac:dyDescent="0.2">
      <c r="A125" s="195" t="s">
        <v>213</v>
      </c>
      <c r="B125" s="222" t="s">
        <v>209</v>
      </c>
      <c r="C125" s="153" t="s">
        <v>176</v>
      </c>
      <c r="D125" s="154" t="s">
        <v>177</v>
      </c>
      <c r="E125" s="154">
        <v>4</v>
      </c>
      <c r="F125" s="155">
        <v>3.0109000000000001E-4</v>
      </c>
      <c r="G125" s="155">
        <f t="shared" si="8"/>
        <v>1.20436E-3</v>
      </c>
      <c r="H125" s="156"/>
      <c r="I125" s="157"/>
      <c r="J125" s="158" t="s">
        <v>966</v>
      </c>
      <c r="AN125" s="131">
        <v>3</v>
      </c>
    </row>
    <row r="126" spans="1:40" s="131" customFormat="1" x14ac:dyDescent="0.2">
      <c r="A126" s="195" t="s">
        <v>213</v>
      </c>
      <c r="B126" s="222" t="s">
        <v>210</v>
      </c>
      <c r="C126" s="153" t="s">
        <v>178</v>
      </c>
      <c r="D126" s="154" t="s">
        <v>179</v>
      </c>
      <c r="E126" s="154">
        <v>2</v>
      </c>
      <c r="F126" s="155">
        <v>1.6556000000000001E-4</v>
      </c>
      <c r="G126" s="155">
        <f t="shared" si="8"/>
        <v>3.3112000000000001E-4</v>
      </c>
      <c r="H126" s="156"/>
      <c r="I126" s="157"/>
      <c r="J126" s="158" t="s">
        <v>966</v>
      </c>
      <c r="AN126" s="131">
        <v>3</v>
      </c>
    </row>
    <row r="127" spans="1:40" s="131" customFormat="1" x14ac:dyDescent="0.2">
      <c r="A127" s="195" t="s">
        <v>162</v>
      </c>
      <c r="B127" s="222" t="s">
        <v>211</v>
      </c>
      <c r="C127" s="153" t="s">
        <v>180</v>
      </c>
      <c r="D127" s="154" t="s">
        <v>181</v>
      </c>
      <c r="E127" s="154">
        <v>8</v>
      </c>
      <c r="F127" s="155">
        <v>2.7349999999999998E-4</v>
      </c>
      <c r="G127" s="155">
        <f t="shared" si="8"/>
        <v>2.1879999999999998E-3</v>
      </c>
      <c r="H127" s="156"/>
      <c r="I127" s="157"/>
      <c r="J127" s="158"/>
      <c r="AN127" s="131">
        <v>3</v>
      </c>
    </row>
    <row r="128" spans="1:40" s="131" customFormat="1" x14ac:dyDescent="0.2">
      <c r="A128" s="195" t="s">
        <v>162</v>
      </c>
      <c r="B128" s="222" t="s">
        <v>212</v>
      </c>
      <c r="C128" s="153" t="s">
        <v>182</v>
      </c>
      <c r="D128" s="154" t="s">
        <v>936</v>
      </c>
      <c r="E128" s="154">
        <v>15</v>
      </c>
      <c r="F128" s="155">
        <v>5.1694100000000002E-3</v>
      </c>
      <c r="G128" s="155">
        <f t="shared" si="8"/>
        <v>7.7541150000000003E-2</v>
      </c>
      <c r="H128" s="156"/>
      <c r="I128" s="157" t="s">
        <v>948</v>
      </c>
      <c r="J128" s="158"/>
      <c r="AN128" s="131">
        <v>3</v>
      </c>
    </row>
    <row r="129" spans="1:40" s="131" customFormat="1" x14ac:dyDescent="0.2">
      <c r="A129" s="195" t="s">
        <v>162</v>
      </c>
      <c r="B129" s="222" t="s">
        <v>357</v>
      </c>
      <c r="C129" s="153" t="s">
        <v>214</v>
      </c>
      <c r="D129" s="154" t="s">
        <v>215</v>
      </c>
      <c r="E129" s="154">
        <v>4</v>
      </c>
      <c r="F129" s="155">
        <v>4.1859100000000002E-3</v>
      </c>
      <c r="G129" s="155">
        <f t="shared" si="8"/>
        <v>1.6743640000000001E-2</v>
      </c>
      <c r="H129" s="156"/>
      <c r="I129" s="157"/>
      <c r="J129" s="158"/>
      <c r="AN129" s="131">
        <v>3</v>
      </c>
    </row>
    <row r="130" spans="1:40" s="131" customFormat="1" x14ac:dyDescent="0.2">
      <c r="A130" s="195" t="s">
        <v>162</v>
      </c>
      <c r="B130" s="222" t="s">
        <v>415</v>
      </c>
      <c r="C130" s="153" t="s">
        <v>780</v>
      </c>
      <c r="D130" s="154" t="s">
        <v>781</v>
      </c>
      <c r="E130" s="154">
        <v>8</v>
      </c>
      <c r="F130" s="155">
        <v>2.0060999999999999E-4</v>
      </c>
      <c r="G130" s="155">
        <f t="shared" si="8"/>
        <v>1.6048799999999999E-3</v>
      </c>
      <c r="H130" s="156"/>
      <c r="I130" s="157"/>
      <c r="J130" s="158"/>
      <c r="AN130" s="131">
        <v>3</v>
      </c>
    </row>
    <row r="131" spans="1:40" s="131" customFormat="1" x14ac:dyDescent="0.2">
      <c r="A131" s="195" t="s">
        <v>162</v>
      </c>
      <c r="B131" s="222" t="s">
        <v>416</v>
      </c>
      <c r="C131" s="153" t="s">
        <v>185</v>
      </c>
      <c r="D131" s="154" t="s">
        <v>186</v>
      </c>
      <c r="E131" s="154">
        <v>2</v>
      </c>
      <c r="F131" s="155">
        <v>3.3479199999999999E-3</v>
      </c>
      <c r="G131" s="155">
        <f t="shared" si="8"/>
        <v>6.6958399999999998E-3</v>
      </c>
      <c r="H131" s="156"/>
      <c r="I131" s="157"/>
      <c r="J131" s="158"/>
      <c r="AN131" s="131">
        <v>3</v>
      </c>
    </row>
    <row r="132" spans="1:40" s="131" customFormat="1" x14ac:dyDescent="0.2">
      <c r="A132" s="195" t="s">
        <v>213</v>
      </c>
      <c r="B132" s="218" t="s">
        <v>97</v>
      </c>
      <c r="C132" s="208" t="s">
        <v>799</v>
      </c>
      <c r="D132" s="206" t="s">
        <v>127</v>
      </c>
      <c r="E132" s="206">
        <v>1</v>
      </c>
      <c r="F132" s="209">
        <v>0.61</v>
      </c>
      <c r="G132" s="209">
        <f t="shared" si="8"/>
        <v>0.61</v>
      </c>
      <c r="H132" s="210" t="s">
        <v>126</v>
      </c>
      <c r="I132" s="211"/>
      <c r="J132" s="212"/>
      <c r="AN132" s="131">
        <v>2</v>
      </c>
    </row>
    <row r="133" spans="1:40" s="131" customFormat="1" x14ac:dyDescent="0.2">
      <c r="A133" s="195" t="s">
        <v>213</v>
      </c>
      <c r="B133" s="218" t="s">
        <v>98</v>
      </c>
      <c r="C133" s="208" t="s">
        <v>800</v>
      </c>
      <c r="D133" s="206" t="s">
        <v>801</v>
      </c>
      <c r="E133" s="206">
        <v>1</v>
      </c>
      <c r="F133" s="209">
        <v>2.42</v>
      </c>
      <c r="G133" s="209">
        <f t="shared" si="8"/>
        <v>2.42</v>
      </c>
      <c r="H133" s="210" t="s">
        <v>126</v>
      </c>
      <c r="I133" s="211"/>
      <c r="J133" s="212"/>
      <c r="AN133" s="131">
        <v>2</v>
      </c>
    </row>
    <row r="134" spans="1:40" s="131" customFormat="1" x14ac:dyDescent="0.2">
      <c r="A134" s="195" t="s">
        <v>213</v>
      </c>
      <c r="B134" s="218" t="s">
        <v>99</v>
      </c>
      <c r="C134" s="208" t="s">
        <v>802</v>
      </c>
      <c r="D134" s="206" t="s">
        <v>355</v>
      </c>
      <c r="E134" s="206">
        <v>1</v>
      </c>
      <c r="F134" s="209">
        <v>0.56999999999999995</v>
      </c>
      <c r="G134" s="209">
        <f t="shared" si="8"/>
        <v>0.56999999999999995</v>
      </c>
      <c r="H134" s="210" t="s">
        <v>126</v>
      </c>
      <c r="I134" s="211"/>
      <c r="J134" s="212"/>
      <c r="AN134" s="131">
        <v>2</v>
      </c>
    </row>
    <row r="135" spans="1:40" s="131" customFormat="1" x14ac:dyDescent="0.2">
      <c r="A135" s="195" t="s">
        <v>213</v>
      </c>
      <c r="B135" s="218" t="s">
        <v>101</v>
      </c>
      <c r="C135" s="208" t="s">
        <v>811</v>
      </c>
      <c r="D135" s="206" t="s">
        <v>812</v>
      </c>
      <c r="E135" s="206">
        <v>1</v>
      </c>
      <c r="F135" s="209">
        <v>0.03</v>
      </c>
      <c r="G135" s="209">
        <f t="shared" ref="G135:G153" si="9">F135*E135</f>
        <v>0.03</v>
      </c>
      <c r="H135" s="210">
        <v>1.4300999999999999</v>
      </c>
      <c r="I135" s="211"/>
      <c r="J135" s="212"/>
      <c r="AN135" s="131">
        <v>2</v>
      </c>
    </row>
    <row r="136" spans="1:40" s="131" customFormat="1" x14ac:dyDescent="0.2">
      <c r="A136" s="195" t="s">
        <v>213</v>
      </c>
      <c r="B136" s="218" t="s">
        <v>103</v>
      </c>
      <c r="C136" s="208" t="s">
        <v>813</v>
      </c>
      <c r="D136" s="206" t="s">
        <v>814</v>
      </c>
      <c r="E136" s="206">
        <v>1</v>
      </c>
      <c r="F136" s="209">
        <v>0.03</v>
      </c>
      <c r="G136" s="209">
        <f t="shared" si="9"/>
        <v>0.03</v>
      </c>
      <c r="H136" s="210">
        <v>1.4300999999999999</v>
      </c>
      <c r="I136" s="211"/>
      <c r="J136" s="212"/>
      <c r="AN136" s="131">
        <v>2</v>
      </c>
    </row>
    <row r="137" spans="1:40" s="131" customFormat="1" x14ac:dyDescent="0.2">
      <c r="A137" s="195" t="s">
        <v>162</v>
      </c>
      <c r="B137" s="218" t="s">
        <v>104</v>
      </c>
      <c r="C137" s="153" t="s">
        <v>815</v>
      </c>
      <c r="D137" s="154" t="s">
        <v>816</v>
      </c>
      <c r="E137" s="154">
        <v>1</v>
      </c>
      <c r="F137" s="155">
        <v>1.79</v>
      </c>
      <c r="G137" s="155">
        <f t="shared" si="9"/>
        <v>1.79</v>
      </c>
      <c r="H137" s="156"/>
      <c r="I137" s="157"/>
      <c r="J137" s="237" t="s">
        <v>273</v>
      </c>
      <c r="AN137" s="131">
        <v>2</v>
      </c>
    </row>
    <row r="138" spans="1:40" s="131" customFormat="1" x14ac:dyDescent="0.2">
      <c r="A138" s="195" t="s">
        <v>162</v>
      </c>
      <c r="B138" s="218" t="s">
        <v>109</v>
      </c>
      <c r="C138" s="153" t="s">
        <v>130</v>
      </c>
      <c r="D138" s="154" t="s">
        <v>131</v>
      </c>
      <c r="E138" s="154">
        <v>2</v>
      </c>
      <c r="F138" s="155">
        <v>0</v>
      </c>
      <c r="G138" s="155">
        <f t="shared" si="9"/>
        <v>0</v>
      </c>
      <c r="H138" s="156"/>
      <c r="I138" s="157"/>
      <c r="J138" s="158"/>
      <c r="AN138" s="131">
        <v>2</v>
      </c>
    </row>
    <row r="139" spans="1:40" s="131" customFormat="1" x14ac:dyDescent="0.2">
      <c r="A139" s="195" t="s">
        <v>162</v>
      </c>
      <c r="B139" s="218" t="s">
        <v>110</v>
      </c>
      <c r="C139" s="153" t="s">
        <v>820</v>
      </c>
      <c r="D139" s="154" t="s">
        <v>136</v>
      </c>
      <c r="E139" s="154">
        <v>4</v>
      </c>
      <c r="F139" s="155">
        <v>0</v>
      </c>
      <c r="G139" s="155">
        <f t="shared" si="9"/>
        <v>0</v>
      </c>
      <c r="H139" s="156"/>
      <c r="I139" s="157"/>
      <c r="J139" s="158" t="s">
        <v>969</v>
      </c>
      <c r="AN139" s="131">
        <v>2</v>
      </c>
    </row>
    <row r="140" spans="1:40" s="131" customFormat="1" x14ac:dyDescent="0.2">
      <c r="A140" s="195" t="s">
        <v>162</v>
      </c>
      <c r="B140" s="218" t="s">
        <v>111</v>
      </c>
      <c r="C140" s="153" t="s">
        <v>132</v>
      </c>
      <c r="D140" s="154" t="s">
        <v>133</v>
      </c>
      <c r="E140" s="154">
        <v>8</v>
      </c>
      <c r="F140" s="155">
        <v>0</v>
      </c>
      <c r="G140" s="155">
        <f t="shared" si="9"/>
        <v>0</v>
      </c>
      <c r="H140" s="156"/>
      <c r="I140" s="157"/>
      <c r="J140" s="158" t="s">
        <v>966</v>
      </c>
      <c r="AN140" s="131">
        <v>2</v>
      </c>
    </row>
    <row r="141" spans="1:40" s="131" customFormat="1" x14ac:dyDescent="0.2">
      <c r="A141" s="195" t="s">
        <v>162</v>
      </c>
      <c r="B141" s="218" t="s">
        <v>112</v>
      </c>
      <c r="C141" s="153" t="s">
        <v>134</v>
      </c>
      <c r="D141" s="154" t="s">
        <v>133</v>
      </c>
      <c r="E141" s="154">
        <v>2</v>
      </c>
      <c r="F141" s="155">
        <v>0</v>
      </c>
      <c r="G141" s="155">
        <f t="shared" si="9"/>
        <v>0</v>
      </c>
      <c r="H141" s="156"/>
      <c r="I141" s="157"/>
      <c r="J141" s="158" t="s">
        <v>966</v>
      </c>
      <c r="AN141" s="131">
        <v>2</v>
      </c>
    </row>
    <row r="142" spans="1:40" s="131" customFormat="1" x14ac:dyDescent="0.2">
      <c r="A142" s="195" t="s">
        <v>162</v>
      </c>
      <c r="B142" s="218" t="s">
        <v>114</v>
      </c>
      <c r="C142" s="153" t="s">
        <v>137</v>
      </c>
      <c r="D142" s="154" t="s">
        <v>137</v>
      </c>
      <c r="E142" s="154">
        <v>4</v>
      </c>
      <c r="F142" s="155">
        <v>0.35</v>
      </c>
      <c r="G142" s="155">
        <f t="shared" si="9"/>
        <v>1.4</v>
      </c>
      <c r="H142" s="156"/>
      <c r="I142" s="157"/>
      <c r="J142" s="158" t="s">
        <v>970</v>
      </c>
      <c r="AN142" s="131">
        <v>2</v>
      </c>
    </row>
    <row r="143" spans="1:40" s="131" customFormat="1" x14ac:dyDescent="0.2">
      <c r="A143" s="195" t="s">
        <v>162</v>
      </c>
      <c r="B143" s="218" t="s">
        <v>116</v>
      </c>
      <c r="C143" s="153" t="s">
        <v>140</v>
      </c>
      <c r="D143" s="154" t="s">
        <v>141</v>
      </c>
      <c r="E143" s="154">
        <v>2</v>
      </c>
      <c r="F143" s="155">
        <v>0.03</v>
      </c>
      <c r="G143" s="155">
        <f t="shared" si="9"/>
        <v>0.06</v>
      </c>
      <c r="H143" s="156"/>
      <c r="I143" s="157"/>
      <c r="J143" s="158"/>
      <c r="AN143" s="131">
        <v>2</v>
      </c>
    </row>
    <row r="144" spans="1:40" s="131" customFormat="1" x14ac:dyDescent="0.2">
      <c r="A144" s="195" t="s">
        <v>162</v>
      </c>
      <c r="B144" s="218" t="s">
        <v>118</v>
      </c>
      <c r="C144" s="153" t="s">
        <v>180</v>
      </c>
      <c r="D144" s="154" t="s">
        <v>776</v>
      </c>
      <c r="E144" s="154">
        <v>4</v>
      </c>
      <c r="F144" s="155">
        <v>0</v>
      </c>
      <c r="G144" s="155">
        <f t="shared" si="9"/>
        <v>0</v>
      </c>
      <c r="H144" s="156"/>
      <c r="I144" s="157"/>
      <c r="J144" s="158"/>
      <c r="AN144" s="250">
        <v>2</v>
      </c>
    </row>
    <row r="145" spans="1:40" s="131" customFormat="1" ht="25.5" x14ac:dyDescent="0.2">
      <c r="A145" s="195" t="s">
        <v>162</v>
      </c>
      <c r="B145" s="218" t="s">
        <v>158</v>
      </c>
      <c r="C145" s="153" t="s">
        <v>824</v>
      </c>
      <c r="D145" s="154" t="s">
        <v>825</v>
      </c>
      <c r="E145" s="154">
        <v>6</v>
      </c>
      <c r="F145" s="155">
        <v>0.01</v>
      </c>
      <c r="G145" s="155">
        <f t="shared" si="9"/>
        <v>0.06</v>
      </c>
      <c r="H145" s="156"/>
      <c r="I145" s="157"/>
      <c r="J145" s="158"/>
      <c r="AN145" s="250">
        <v>2</v>
      </c>
    </row>
    <row r="146" spans="1:40" s="131" customFormat="1" ht="25.5" x14ac:dyDescent="0.2">
      <c r="A146" s="195" t="s">
        <v>162</v>
      </c>
      <c r="B146" s="218" t="s">
        <v>159</v>
      </c>
      <c r="C146" s="153" t="s">
        <v>826</v>
      </c>
      <c r="D146" s="154" t="s">
        <v>787</v>
      </c>
      <c r="E146" s="154">
        <v>6</v>
      </c>
      <c r="F146" s="155">
        <v>0</v>
      </c>
      <c r="G146" s="155">
        <f t="shared" si="9"/>
        <v>0</v>
      </c>
      <c r="H146" s="156"/>
      <c r="I146" s="157"/>
      <c r="J146" s="158"/>
      <c r="AN146" s="250">
        <v>2</v>
      </c>
    </row>
    <row r="147" spans="1:40" s="131" customFormat="1" ht="25.5" x14ac:dyDescent="0.2">
      <c r="A147" s="195" t="s">
        <v>162</v>
      </c>
      <c r="B147" s="218" t="s">
        <v>159</v>
      </c>
      <c r="C147" s="153" t="s">
        <v>826</v>
      </c>
      <c r="D147" s="154" t="s">
        <v>787</v>
      </c>
      <c r="E147" s="154">
        <v>4</v>
      </c>
      <c r="F147" s="155">
        <v>0</v>
      </c>
      <c r="G147" s="155">
        <f t="shared" si="9"/>
        <v>0</v>
      </c>
      <c r="H147" s="156"/>
      <c r="I147" s="157" t="s">
        <v>846</v>
      </c>
      <c r="J147" s="158"/>
      <c r="AN147" s="250">
        <v>2</v>
      </c>
    </row>
    <row r="148" spans="1:40" s="131" customFormat="1" x14ac:dyDescent="0.2">
      <c r="A148" s="195" t="s">
        <v>162</v>
      </c>
      <c r="B148" s="218" t="s">
        <v>161</v>
      </c>
      <c r="C148" s="153" t="s">
        <v>146</v>
      </c>
      <c r="D148" s="154" t="s">
        <v>147</v>
      </c>
      <c r="E148" s="154">
        <v>4</v>
      </c>
      <c r="F148" s="155">
        <v>0.04</v>
      </c>
      <c r="G148" s="155">
        <f t="shared" si="9"/>
        <v>0.16</v>
      </c>
      <c r="H148" s="156">
        <v>1.4300999999999999</v>
      </c>
      <c r="I148" s="157"/>
      <c r="J148" s="158" t="s">
        <v>973</v>
      </c>
      <c r="AN148" s="250">
        <v>2</v>
      </c>
    </row>
    <row r="149" spans="1:40" s="131" customFormat="1" x14ac:dyDescent="0.2">
      <c r="A149" s="195" t="s">
        <v>162</v>
      </c>
      <c r="B149" s="218" t="s">
        <v>276</v>
      </c>
      <c r="C149" s="153" t="s">
        <v>151</v>
      </c>
      <c r="D149" s="154" t="s">
        <v>152</v>
      </c>
      <c r="E149" s="154">
        <v>6</v>
      </c>
      <c r="F149" s="155">
        <v>0</v>
      </c>
      <c r="G149" s="155">
        <f t="shared" si="9"/>
        <v>0</v>
      </c>
      <c r="H149" s="156"/>
      <c r="I149" s="157"/>
      <c r="J149" s="158"/>
      <c r="AN149" s="250">
        <v>2</v>
      </c>
    </row>
    <row r="150" spans="1:40" s="131" customFormat="1" x14ac:dyDescent="0.2">
      <c r="A150" s="195" t="s">
        <v>162</v>
      </c>
      <c r="B150" s="218" t="s">
        <v>276</v>
      </c>
      <c r="C150" s="153" t="s">
        <v>151</v>
      </c>
      <c r="D150" s="154" t="s">
        <v>152</v>
      </c>
      <c r="E150" s="154">
        <v>4</v>
      </c>
      <c r="F150" s="155">
        <v>0</v>
      </c>
      <c r="G150" s="155">
        <f t="shared" si="9"/>
        <v>0</v>
      </c>
      <c r="H150" s="156"/>
      <c r="I150" s="157" t="s">
        <v>846</v>
      </c>
      <c r="J150" s="158"/>
      <c r="AN150" s="250">
        <v>2</v>
      </c>
    </row>
    <row r="151" spans="1:40" s="131" customFormat="1" x14ac:dyDescent="0.2">
      <c r="A151" s="195" t="s">
        <v>162</v>
      </c>
      <c r="B151" s="218" t="s">
        <v>277</v>
      </c>
      <c r="C151" s="153" t="s">
        <v>221</v>
      </c>
      <c r="D151" s="154" t="s">
        <v>829</v>
      </c>
      <c r="E151" s="154">
        <v>2</v>
      </c>
      <c r="F151" s="155">
        <v>0</v>
      </c>
      <c r="G151" s="155">
        <f t="shared" si="9"/>
        <v>0</v>
      </c>
      <c r="H151" s="156"/>
      <c r="I151" s="157"/>
      <c r="J151" s="158"/>
      <c r="AN151" s="250">
        <v>2</v>
      </c>
    </row>
    <row r="152" spans="1:40" s="131" customFormat="1" x14ac:dyDescent="0.2">
      <c r="A152" s="195" t="s">
        <v>162</v>
      </c>
      <c r="B152" s="218" t="s">
        <v>298</v>
      </c>
      <c r="C152" s="153" t="s">
        <v>153</v>
      </c>
      <c r="D152" s="154" t="s">
        <v>154</v>
      </c>
      <c r="E152" s="154">
        <v>6</v>
      </c>
      <c r="F152" s="155">
        <v>0</v>
      </c>
      <c r="G152" s="155">
        <f t="shared" si="9"/>
        <v>0</v>
      </c>
      <c r="H152" s="156"/>
      <c r="I152" s="157"/>
      <c r="J152" s="158"/>
      <c r="AN152" s="250">
        <v>2</v>
      </c>
    </row>
    <row r="153" spans="1:40" s="131" customFormat="1" x14ac:dyDescent="0.2">
      <c r="A153" s="195" t="s">
        <v>162</v>
      </c>
      <c r="B153" s="218" t="s">
        <v>356</v>
      </c>
      <c r="C153" s="153" t="s">
        <v>830</v>
      </c>
      <c r="D153" s="154" t="s">
        <v>831</v>
      </c>
      <c r="E153" s="154">
        <v>2</v>
      </c>
      <c r="F153" s="155">
        <v>0.01</v>
      </c>
      <c r="G153" s="155">
        <f t="shared" si="9"/>
        <v>0.02</v>
      </c>
      <c r="H153" s="156"/>
      <c r="I153" s="157"/>
      <c r="J153" s="158"/>
      <c r="AN153" s="250">
        <v>2</v>
      </c>
    </row>
    <row r="154" spans="1:40" ht="15.6" customHeight="1" x14ac:dyDescent="0.2">
      <c r="A154" s="224" t="s">
        <v>162</v>
      </c>
      <c r="B154" s="218" t="s">
        <v>371</v>
      </c>
      <c r="C154" s="159">
        <v>70163</v>
      </c>
      <c r="D154" s="160" t="s">
        <v>278</v>
      </c>
      <c r="E154" s="160">
        <v>1</v>
      </c>
      <c r="F154" s="161"/>
      <c r="G154" s="161"/>
      <c r="H154" s="162"/>
      <c r="I154" s="171"/>
      <c r="J154" s="163" t="s">
        <v>273</v>
      </c>
      <c r="K154" s="60"/>
      <c r="L154" s="24"/>
      <c r="M154" s="25"/>
      <c r="N154" s="132"/>
      <c r="O154" s="26"/>
      <c r="P154" s="45"/>
      <c r="Q154" s="34"/>
      <c r="R154" s="30"/>
      <c r="S154" s="36"/>
      <c r="T154" s="31"/>
      <c r="U154" s="2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51"/>
      <c r="AH154" s="151"/>
      <c r="AI154" s="151"/>
      <c r="AJ154" s="151"/>
      <c r="AK154" s="151"/>
      <c r="AL154" s="151"/>
      <c r="AM154" s="152"/>
      <c r="AN154" s="1">
        <v>2</v>
      </c>
    </row>
    <row r="155" spans="1:40" ht="12" customHeight="1" x14ac:dyDescent="0.2">
      <c r="A155" s="224" t="s">
        <v>162</v>
      </c>
      <c r="B155" s="218" t="s">
        <v>373</v>
      </c>
      <c r="C155" s="159">
        <v>65539</v>
      </c>
      <c r="D155" s="160" t="s">
        <v>279</v>
      </c>
      <c r="E155" s="160">
        <v>1</v>
      </c>
      <c r="F155" s="161"/>
      <c r="G155" s="161"/>
      <c r="H155" s="162"/>
      <c r="I155" s="171"/>
      <c r="J155" s="163" t="s">
        <v>273</v>
      </c>
      <c r="K155" s="60"/>
      <c r="L155" s="24"/>
      <c r="M155" s="25"/>
      <c r="N155" s="132"/>
      <c r="O155" s="26"/>
      <c r="P155" s="45"/>
      <c r="Q155" s="34"/>
      <c r="R155" s="30"/>
      <c r="S155" s="36"/>
      <c r="T155" s="31"/>
      <c r="U155" s="2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51"/>
      <c r="AH155" s="151"/>
      <c r="AI155" s="151"/>
      <c r="AJ155" s="151"/>
      <c r="AK155" s="151"/>
      <c r="AL155" s="151"/>
      <c r="AM155" s="152"/>
      <c r="AN155" s="1">
        <v>2</v>
      </c>
    </row>
    <row r="156" spans="1:40" ht="14.45" customHeight="1" x14ac:dyDescent="0.2">
      <c r="A156" s="224" t="s">
        <v>162</v>
      </c>
      <c r="B156" s="218" t="s">
        <v>374</v>
      </c>
      <c r="C156" s="159">
        <v>69972</v>
      </c>
      <c r="D156" s="160" t="s">
        <v>280</v>
      </c>
      <c r="E156" s="160">
        <v>1</v>
      </c>
      <c r="F156" s="161"/>
      <c r="G156" s="161"/>
      <c r="H156" s="162"/>
      <c r="I156" s="171"/>
      <c r="J156" s="163" t="s">
        <v>273</v>
      </c>
      <c r="K156" s="60"/>
      <c r="L156" s="24"/>
      <c r="M156" s="25"/>
      <c r="N156" s="132"/>
      <c r="O156" s="26"/>
      <c r="P156" s="45"/>
      <c r="Q156" s="34"/>
      <c r="R156" s="30"/>
      <c r="S156" s="36"/>
      <c r="T156" s="31"/>
      <c r="U156" s="2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51"/>
      <c r="AH156" s="151"/>
      <c r="AI156" s="151"/>
      <c r="AJ156" s="151"/>
      <c r="AK156" s="151"/>
      <c r="AL156" s="151"/>
      <c r="AM156" s="152"/>
      <c r="AN156" s="1">
        <v>2</v>
      </c>
    </row>
    <row r="157" spans="1:40" ht="13.15" customHeight="1" x14ac:dyDescent="0.2">
      <c r="A157" s="224" t="s">
        <v>162</v>
      </c>
      <c r="B157" s="218" t="s">
        <v>375</v>
      </c>
      <c r="C157" s="223">
        <v>45588</v>
      </c>
      <c r="D157" s="154" t="s">
        <v>881</v>
      </c>
      <c r="E157" s="160">
        <v>1</v>
      </c>
      <c r="F157" s="161"/>
      <c r="G157" s="161"/>
      <c r="H157" s="162"/>
      <c r="I157" s="171"/>
      <c r="J157" s="163" t="s">
        <v>273</v>
      </c>
      <c r="K157" s="60"/>
      <c r="L157" s="24"/>
      <c r="M157" s="25"/>
      <c r="N157" s="132"/>
      <c r="O157" s="26"/>
      <c r="P157" s="45"/>
      <c r="Q157" s="34"/>
      <c r="R157" s="30"/>
      <c r="S157" s="36"/>
      <c r="T157" s="31"/>
      <c r="U157" s="2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51"/>
      <c r="AH157" s="151"/>
      <c r="AI157" s="151"/>
      <c r="AJ157" s="151"/>
      <c r="AK157" s="151"/>
      <c r="AL157" s="151"/>
      <c r="AM157" s="152"/>
      <c r="AN157" s="1">
        <v>2</v>
      </c>
    </row>
    <row r="158" spans="1:40" ht="13.9" customHeight="1" x14ac:dyDescent="0.2">
      <c r="A158" s="224" t="s">
        <v>162</v>
      </c>
      <c r="B158" s="218" t="s">
        <v>376</v>
      </c>
      <c r="C158" s="159">
        <v>57559</v>
      </c>
      <c r="D158" s="160" t="s">
        <v>281</v>
      </c>
      <c r="E158" s="160">
        <v>2</v>
      </c>
      <c r="F158" s="161"/>
      <c r="G158" s="161"/>
      <c r="H158" s="162"/>
      <c r="I158" s="171"/>
      <c r="J158" s="163" t="s">
        <v>273</v>
      </c>
      <c r="K158" s="60"/>
      <c r="L158" s="24"/>
      <c r="M158" s="25"/>
      <c r="N158" s="132"/>
      <c r="O158" s="26"/>
      <c r="P158" s="45"/>
      <c r="Q158" s="34"/>
      <c r="R158" s="30"/>
      <c r="S158" s="36"/>
      <c r="T158" s="31"/>
      <c r="U158" s="2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51"/>
      <c r="AH158" s="151"/>
      <c r="AI158" s="151"/>
      <c r="AJ158" s="151"/>
      <c r="AK158" s="151"/>
      <c r="AL158" s="151"/>
      <c r="AM158" s="152"/>
      <c r="AN158" s="1">
        <v>2</v>
      </c>
    </row>
    <row r="159" spans="1:40" ht="14.45" customHeight="1" x14ac:dyDescent="0.2">
      <c r="A159" s="224" t="s">
        <v>162</v>
      </c>
      <c r="B159" s="218" t="s">
        <v>377</v>
      </c>
      <c r="C159" s="153">
        <v>58189</v>
      </c>
      <c r="D159" s="154" t="s">
        <v>882</v>
      </c>
      <c r="E159" s="154">
        <v>1</v>
      </c>
      <c r="F159" s="161"/>
      <c r="G159" s="161"/>
      <c r="H159" s="162"/>
      <c r="I159" s="194"/>
      <c r="J159" s="163" t="s">
        <v>273</v>
      </c>
      <c r="K159" s="60"/>
      <c r="L159" s="24"/>
      <c r="M159" s="25"/>
      <c r="N159" s="132"/>
      <c r="O159" s="26"/>
      <c r="P159" s="45"/>
      <c r="Q159" s="34"/>
      <c r="R159" s="30"/>
      <c r="S159" s="36"/>
      <c r="T159" s="31"/>
      <c r="U159" s="2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51"/>
      <c r="AH159" s="151"/>
      <c r="AI159" s="151"/>
      <c r="AJ159" s="151"/>
      <c r="AK159" s="151"/>
      <c r="AL159" s="151"/>
      <c r="AM159" s="152"/>
      <c r="AN159" s="1">
        <v>2</v>
      </c>
    </row>
    <row r="160" spans="1:40" ht="11.25" customHeight="1" outlineLevel="1" x14ac:dyDescent="0.2">
      <c r="A160" s="225" t="s">
        <v>162</v>
      </c>
      <c r="B160" s="218" t="s">
        <v>380</v>
      </c>
      <c r="C160" s="186" t="s">
        <v>368</v>
      </c>
      <c r="D160" s="154" t="s">
        <v>987</v>
      </c>
      <c r="E160" s="154">
        <v>1</v>
      </c>
      <c r="F160" s="155">
        <v>0.5</v>
      </c>
      <c r="G160" s="155">
        <f t="shared" ref="G160" si="10">F160*E160</f>
        <v>0.5</v>
      </c>
      <c r="H160" s="156"/>
      <c r="I160" s="171" t="s">
        <v>959</v>
      </c>
      <c r="J160" s="179" t="s">
        <v>369</v>
      </c>
      <c r="K160" s="180"/>
      <c r="L160" s="181"/>
      <c r="M160" s="178"/>
      <c r="N160" s="165"/>
      <c r="O160" s="182"/>
      <c r="P160" s="182"/>
      <c r="Q160" s="178"/>
      <c r="R160" s="183"/>
      <c r="S160" s="184"/>
      <c r="T160" s="185"/>
      <c r="U160" s="178"/>
      <c r="AF160" s="9"/>
      <c r="AN160" s="1">
        <v>2</v>
      </c>
    </row>
    <row r="161" spans="1:40" s="192" customFormat="1" ht="24.75" customHeight="1" outlineLevel="1" x14ac:dyDescent="0.2">
      <c r="A161" s="225" t="s">
        <v>162</v>
      </c>
      <c r="B161" s="218" t="s">
        <v>412</v>
      </c>
      <c r="C161" s="193" t="s">
        <v>886</v>
      </c>
      <c r="D161" s="154" t="s">
        <v>887</v>
      </c>
      <c r="E161" s="154">
        <v>1</v>
      </c>
      <c r="F161" s="155"/>
      <c r="G161" s="155"/>
      <c r="H161" s="156"/>
      <c r="I161" s="171"/>
      <c r="J161" s="179" t="s">
        <v>417</v>
      </c>
      <c r="K161" s="187"/>
      <c r="L161" s="188"/>
      <c r="M161" s="189"/>
      <c r="N161" s="190"/>
      <c r="O161" s="191"/>
      <c r="P161" s="191"/>
      <c r="Q161" s="189"/>
      <c r="R161" s="185"/>
      <c r="S161" s="184"/>
      <c r="T161" s="185"/>
      <c r="U161" s="189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N161" s="192">
        <v>2</v>
      </c>
    </row>
    <row r="162" spans="1:40" s="192" customFormat="1" ht="24.75" customHeight="1" outlineLevel="1" x14ac:dyDescent="0.2">
      <c r="A162" s="225" t="s">
        <v>162</v>
      </c>
      <c r="B162" s="218" t="s">
        <v>413</v>
      </c>
      <c r="C162" s="226" t="s">
        <v>884</v>
      </c>
      <c r="D162" s="160" t="s">
        <v>888</v>
      </c>
      <c r="E162" s="160">
        <v>1</v>
      </c>
      <c r="F162" s="161"/>
      <c r="G162" s="161"/>
      <c r="H162" s="162"/>
      <c r="I162" s="171"/>
      <c r="J162" s="227" t="s">
        <v>885</v>
      </c>
      <c r="K162" s="187"/>
      <c r="L162" s="188"/>
      <c r="M162" s="189"/>
      <c r="N162" s="190"/>
      <c r="O162" s="191"/>
      <c r="P162" s="191"/>
      <c r="Q162" s="189"/>
      <c r="R162" s="185"/>
      <c r="S162" s="184"/>
      <c r="T162" s="185"/>
      <c r="U162" s="189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N162" s="192">
        <v>2</v>
      </c>
    </row>
    <row r="163" spans="1:40" s="192" customFormat="1" ht="24.75" customHeight="1" x14ac:dyDescent="0.2">
      <c r="A163" s="228" t="s">
        <v>162</v>
      </c>
      <c r="B163" s="213" t="s">
        <v>426</v>
      </c>
      <c r="C163" s="153" t="s">
        <v>418</v>
      </c>
      <c r="D163" s="154" t="s">
        <v>419</v>
      </c>
      <c r="E163" s="160">
        <v>2</v>
      </c>
      <c r="F163" s="155"/>
      <c r="G163" s="155"/>
      <c r="H163" s="156"/>
      <c r="I163" s="157"/>
      <c r="J163" s="179" t="s">
        <v>414</v>
      </c>
      <c r="K163" s="187"/>
      <c r="L163" s="188"/>
      <c r="M163" s="189"/>
      <c r="N163" s="190"/>
      <c r="O163" s="191"/>
      <c r="P163" s="191"/>
      <c r="Q163" s="189"/>
      <c r="R163" s="185"/>
      <c r="S163" s="184"/>
      <c r="T163" s="185"/>
      <c r="U163" s="189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N163" s="192">
        <v>2</v>
      </c>
    </row>
    <row r="164" spans="1:40" s="192" customFormat="1" ht="24.75" customHeight="1" x14ac:dyDescent="0.2">
      <c r="A164" s="228" t="s">
        <v>162</v>
      </c>
      <c r="B164" s="213" t="s">
        <v>427</v>
      </c>
      <c r="C164" s="153" t="s">
        <v>420</v>
      </c>
      <c r="D164" s="154" t="s">
        <v>421</v>
      </c>
      <c r="E164" s="160">
        <v>1</v>
      </c>
      <c r="F164" s="155"/>
      <c r="G164" s="155"/>
      <c r="H164" s="156"/>
      <c r="I164" s="157"/>
      <c r="J164" s="179" t="s">
        <v>414</v>
      </c>
      <c r="K164" s="187"/>
      <c r="L164" s="188"/>
      <c r="M164" s="189"/>
      <c r="N164" s="190"/>
      <c r="O164" s="191"/>
      <c r="P164" s="191"/>
      <c r="Q164" s="189"/>
      <c r="R164" s="185"/>
      <c r="S164" s="184"/>
      <c r="T164" s="185"/>
      <c r="U164" s="189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N164" s="192">
        <v>2</v>
      </c>
    </row>
    <row r="165" spans="1:40" s="192" customFormat="1" ht="24.75" customHeight="1" x14ac:dyDescent="0.2">
      <c r="A165" s="228" t="s">
        <v>162</v>
      </c>
      <c r="B165" s="213" t="s">
        <v>428</v>
      </c>
      <c r="C165" s="153" t="s">
        <v>422</v>
      </c>
      <c r="D165" s="154" t="s">
        <v>423</v>
      </c>
      <c r="E165" s="160">
        <v>1</v>
      </c>
      <c r="F165" s="155"/>
      <c r="G165" s="155"/>
      <c r="H165" s="156"/>
      <c r="I165" s="157"/>
      <c r="J165" s="179" t="s">
        <v>414</v>
      </c>
      <c r="K165" s="187"/>
      <c r="L165" s="188"/>
      <c r="M165" s="189"/>
      <c r="N165" s="190"/>
      <c r="O165" s="191"/>
      <c r="P165" s="191"/>
      <c r="Q165" s="189"/>
      <c r="R165" s="185"/>
      <c r="S165" s="184"/>
      <c r="T165" s="185"/>
      <c r="U165" s="189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N165" s="192">
        <v>2</v>
      </c>
    </row>
    <row r="166" spans="1:40" s="192" customFormat="1" ht="24.75" customHeight="1" x14ac:dyDescent="0.2">
      <c r="A166" s="228" t="s">
        <v>162</v>
      </c>
      <c r="B166" s="213" t="s">
        <v>429</v>
      </c>
      <c r="C166" s="153" t="s">
        <v>424</v>
      </c>
      <c r="D166" s="154" t="s">
        <v>425</v>
      </c>
      <c r="E166" s="160">
        <v>1</v>
      </c>
      <c r="F166" s="155"/>
      <c r="G166" s="155"/>
      <c r="H166" s="156"/>
      <c r="I166" s="157"/>
      <c r="J166" s="179" t="s">
        <v>414</v>
      </c>
      <c r="K166" s="187"/>
      <c r="L166" s="188"/>
      <c r="M166" s="189"/>
      <c r="N166" s="190"/>
      <c r="O166" s="191"/>
      <c r="P166" s="191"/>
      <c r="Q166" s="189"/>
      <c r="R166" s="185"/>
      <c r="S166" s="184"/>
      <c r="T166" s="185"/>
      <c r="U166" s="189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N166" s="192">
        <v>2</v>
      </c>
    </row>
    <row r="167" spans="1:40" x14ac:dyDescent="0.2">
      <c r="A167" s="228" t="s">
        <v>162</v>
      </c>
      <c r="B167" s="213" t="s">
        <v>889</v>
      </c>
      <c r="C167" s="159"/>
      <c r="D167" s="160" t="s">
        <v>890</v>
      </c>
      <c r="E167" s="160">
        <v>20</v>
      </c>
      <c r="F167" s="161"/>
      <c r="G167" s="161"/>
      <c r="H167" s="162"/>
      <c r="I167" s="214"/>
      <c r="J167" s="158" t="s">
        <v>417</v>
      </c>
      <c r="K167" s="60"/>
      <c r="L167" s="24"/>
      <c r="M167" s="25"/>
      <c r="N167" s="132"/>
      <c r="O167" s="26"/>
      <c r="P167" s="45"/>
      <c r="Q167" s="34"/>
      <c r="R167" s="30"/>
      <c r="S167" s="36"/>
      <c r="T167" s="31"/>
      <c r="U167" s="2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51"/>
      <c r="AH167" s="151"/>
      <c r="AI167" s="151"/>
      <c r="AJ167" s="151"/>
      <c r="AK167" s="151"/>
      <c r="AL167" s="151"/>
      <c r="AM167" s="152"/>
      <c r="AN167" s="1">
        <v>2</v>
      </c>
    </row>
    <row r="168" spans="1:40" ht="15.6" customHeight="1" x14ac:dyDescent="0.2">
      <c r="A168" s="228" t="s">
        <v>162</v>
      </c>
      <c r="B168" s="213" t="s">
        <v>975</v>
      </c>
      <c r="C168" s="159">
        <v>44506</v>
      </c>
      <c r="D168" s="160" t="s">
        <v>974</v>
      </c>
      <c r="E168" s="160">
        <v>1</v>
      </c>
      <c r="F168" s="161"/>
      <c r="G168" s="161"/>
      <c r="H168" s="162"/>
      <c r="I168" s="171"/>
      <c r="J168" s="163" t="s">
        <v>273</v>
      </c>
      <c r="K168" s="60"/>
      <c r="L168" s="24"/>
      <c r="M168" s="25"/>
      <c r="N168" s="132"/>
      <c r="O168" s="26"/>
      <c r="P168" s="45"/>
      <c r="Q168" s="34"/>
      <c r="R168" s="30"/>
      <c r="S168" s="36"/>
      <c r="T168" s="31"/>
      <c r="U168" s="2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51"/>
      <c r="AH168" s="151"/>
      <c r="AI168" s="151"/>
      <c r="AJ168" s="151"/>
      <c r="AK168" s="151"/>
      <c r="AL168" s="151"/>
      <c r="AM168" s="152"/>
      <c r="AN168" s="1">
        <v>2</v>
      </c>
    </row>
    <row r="169" spans="1:40" x14ac:dyDescent="0.2">
      <c r="A169" s="228" t="s">
        <v>162</v>
      </c>
      <c r="B169" s="213" t="s">
        <v>979</v>
      </c>
      <c r="C169" s="159" t="s">
        <v>976</v>
      </c>
      <c r="D169" s="160" t="s">
        <v>977</v>
      </c>
      <c r="E169" s="160">
        <v>10</v>
      </c>
      <c r="F169" s="161"/>
      <c r="G169" s="161"/>
      <c r="H169" s="162"/>
      <c r="I169" s="214" t="s">
        <v>980</v>
      </c>
      <c r="J169" s="163" t="s">
        <v>978</v>
      </c>
      <c r="K169" s="60"/>
      <c r="L169" s="24"/>
      <c r="M169" s="25"/>
      <c r="N169" s="132"/>
      <c r="O169" s="26"/>
      <c r="P169" s="45"/>
      <c r="Q169" s="34"/>
      <c r="R169" s="30"/>
      <c r="S169" s="36"/>
      <c r="T169" s="31"/>
      <c r="U169" s="2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51"/>
      <c r="AH169" s="151"/>
      <c r="AI169" s="151"/>
      <c r="AJ169" s="151"/>
      <c r="AK169" s="151"/>
      <c r="AL169" s="151"/>
      <c r="AM169" s="152"/>
      <c r="AN169" s="1">
        <v>2</v>
      </c>
    </row>
    <row r="170" spans="1:40" s="131" customFormat="1" ht="25.5" customHeight="1" outlineLevel="1" x14ac:dyDescent="0.2">
      <c r="A170" s="228" t="s">
        <v>162</v>
      </c>
      <c r="B170" s="213" t="s">
        <v>984</v>
      </c>
      <c r="C170" s="240" t="s">
        <v>982</v>
      </c>
      <c r="D170" s="160" t="s">
        <v>983</v>
      </c>
      <c r="E170" s="160">
        <v>5</v>
      </c>
      <c r="F170" s="161"/>
      <c r="G170" s="161"/>
      <c r="H170" s="162"/>
      <c r="I170" s="194"/>
      <c r="J170" s="179" t="s">
        <v>968</v>
      </c>
      <c r="AN170" s="63">
        <v>2</v>
      </c>
    </row>
    <row r="171" spans="1:40" ht="13.5" thickBot="1" x14ac:dyDescent="0.25">
      <c r="A171" s="129"/>
      <c r="B171" s="128"/>
      <c r="C171" s="79"/>
      <c r="D171" s="79"/>
      <c r="E171" s="80">
        <v>0</v>
      </c>
      <c r="F171" s="125"/>
      <c r="G171" s="125"/>
      <c r="H171" s="81"/>
      <c r="I171" s="82"/>
      <c r="J171" s="127"/>
      <c r="K171" s="126"/>
      <c r="L171" s="38"/>
      <c r="M171" s="37"/>
      <c r="N171" s="166"/>
      <c r="O171" s="46"/>
      <c r="P171" s="145">
        <f>O171*E171</f>
        <v>0</v>
      </c>
      <c r="Q171" s="13"/>
      <c r="R171" s="32"/>
      <c r="S171" s="97" t="str">
        <f>IF(P171=R171,"NIE","TAK")</f>
        <v>NIE</v>
      </c>
      <c r="T171" s="33">
        <f>P171-R171</f>
        <v>0</v>
      </c>
      <c r="U171" s="37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7"/>
    </row>
    <row r="172" spans="1:40" ht="13.5" thickBot="1" x14ac:dyDescent="0.25">
      <c r="A172" s="134"/>
      <c r="B172" s="134"/>
      <c r="C172" s="4"/>
      <c r="D172" s="4"/>
      <c r="E172" s="135"/>
      <c r="F172" s="136"/>
      <c r="G172" s="136"/>
      <c r="H172" s="137"/>
      <c r="I172" s="4"/>
      <c r="J172" s="4"/>
      <c r="L172" s="138"/>
      <c r="N172" s="167"/>
      <c r="O172" s="139"/>
      <c r="P172" s="149"/>
      <c r="Q172" s="146"/>
      <c r="R172" s="150"/>
      <c r="S172" s="147"/>
      <c r="T172" s="148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</row>
    <row r="173" spans="1:40" s="2" customFormat="1" ht="15.75" thickBot="1" x14ac:dyDescent="0.25">
      <c r="A173" s="77"/>
      <c r="B173" s="77"/>
      <c r="C173" s="49"/>
      <c r="D173" s="4"/>
      <c r="E173" s="3"/>
      <c r="F173" s="47" t="s">
        <v>30</v>
      </c>
      <c r="G173" s="123">
        <f>SUM(G7:G171)</f>
        <v>106.44376428000002</v>
      </c>
      <c r="H173" s="6"/>
      <c r="I173" s="7"/>
      <c r="K173" s="7"/>
      <c r="L173" s="7"/>
      <c r="M173" s="7"/>
      <c r="N173" s="63"/>
      <c r="O173" s="71" t="s">
        <v>12</v>
      </c>
      <c r="P173" s="27">
        <f>SUM(P171:P171)</f>
        <v>0</v>
      </c>
      <c r="Q173" s="28" t="s">
        <v>20</v>
      </c>
      <c r="R173" s="35">
        <f>SUM(R171:R171)</f>
        <v>0</v>
      </c>
      <c r="S173" s="72" t="s">
        <v>19</v>
      </c>
      <c r="T173" s="96">
        <f>SUM(T171:T171)</f>
        <v>0</v>
      </c>
      <c r="U173" s="7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</row>
    <row r="174" spans="1:40" s="2" customFormat="1" ht="13.5" thickBot="1" x14ac:dyDescent="0.25">
      <c r="A174" s="77"/>
      <c r="B174" s="77"/>
      <c r="C174" s="49"/>
      <c r="D174" s="4"/>
      <c r="E174" s="3"/>
      <c r="G174" s="122"/>
      <c r="H174" s="6"/>
      <c r="I174" s="7"/>
      <c r="K174" s="7"/>
      <c r="L174" s="7"/>
      <c r="M174" s="7"/>
      <c r="N174" s="63"/>
      <c r="O174" s="71"/>
      <c r="P174" s="50"/>
      <c r="Q174" s="28"/>
      <c r="R174" s="51"/>
      <c r="S174" s="72"/>
      <c r="T174" s="51"/>
      <c r="U174" s="7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</row>
    <row r="175" spans="1:40" s="2" customFormat="1" ht="13.5" thickBot="1" x14ac:dyDescent="0.25">
      <c r="A175" s="77"/>
      <c r="B175" s="77"/>
      <c r="C175" s="95" t="s">
        <v>64</v>
      </c>
      <c r="D175" s="22" t="s">
        <v>891</v>
      </c>
      <c r="E175" s="3"/>
      <c r="F175" s="47" t="s">
        <v>30</v>
      </c>
      <c r="G175" s="124">
        <f>SUBTOTAL(9,G8:G171)</f>
        <v>106.44376428000002</v>
      </c>
      <c r="H175" s="6"/>
      <c r="I175" s="7"/>
      <c r="J175" s="7"/>
      <c r="K175" s="7"/>
      <c r="L175" s="7"/>
      <c r="M175" s="7"/>
      <c r="N175" s="63"/>
      <c r="O175" s="18"/>
      <c r="P175" s="130">
        <f>SUBTOTAL(9,P171:P171)</f>
        <v>0</v>
      </c>
      <c r="Q175" s="7"/>
      <c r="R175" s="9"/>
      <c r="S175" s="9"/>
      <c r="T175" s="9"/>
      <c r="U175" s="7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</row>
    <row r="176" spans="1:40" s="2" customFormat="1" ht="13.5" thickBot="1" x14ac:dyDescent="0.25">
      <c r="A176" s="77"/>
      <c r="B176" s="77"/>
      <c r="C176" s="95" t="s">
        <v>63</v>
      </c>
      <c r="D176" s="22" t="s">
        <v>891</v>
      </c>
      <c r="E176" s="3"/>
      <c r="F176" s="86"/>
      <c r="G176" s="86"/>
      <c r="H176" s="6"/>
      <c r="I176" s="7"/>
      <c r="J176" s="7"/>
      <c r="K176" s="7"/>
      <c r="L176" s="7"/>
      <c r="M176" s="7"/>
      <c r="N176" s="63"/>
      <c r="O176" s="18"/>
      <c r="P176" s="21"/>
      <c r="Q176" s="7"/>
      <c r="R176" s="9"/>
      <c r="S176" s="9"/>
      <c r="T176" s="9"/>
      <c r="U176" s="7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</row>
    <row r="177" spans="1:31" s="2" customFormat="1" ht="39" thickBot="1" x14ac:dyDescent="0.25">
      <c r="A177" s="77"/>
      <c r="B177" s="77"/>
      <c r="C177" s="263" t="s">
        <v>45</v>
      </c>
      <c r="D177" s="263"/>
      <c r="E177" s="3"/>
      <c r="F177" s="87" t="s">
        <v>41</v>
      </c>
      <c r="G177" s="47"/>
      <c r="H177" s="6"/>
      <c r="I177" s="7"/>
      <c r="J177" s="7"/>
      <c r="K177" s="7"/>
      <c r="L177" s="7"/>
      <c r="M177" s="7"/>
      <c r="N177" s="63"/>
      <c r="O177" s="18"/>
      <c r="P177" s="21"/>
      <c r="Q177" s="7"/>
      <c r="R177" s="9"/>
      <c r="S177" s="9"/>
      <c r="T177" s="9"/>
      <c r="U177" s="7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</row>
    <row r="178" spans="1:31" s="2" customFormat="1" x14ac:dyDescent="0.2">
      <c r="A178" s="77"/>
      <c r="B178" s="77"/>
      <c r="C178" s="263"/>
      <c r="D178" s="263"/>
      <c r="E178" s="3"/>
      <c r="F178" s="5"/>
      <c r="G178" s="6"/>
      <c r="H178" s="6"/>
      <c r="I178" s="39" t="s">
        <v>14</v>
      </c>
      <c r="J178" s="7"/>
      <c r="K178" s="7"/>
      <c r="L178" s="7"/>
      <c r="M178" s="7"/>
      <c r="N178" s="63"/>
      <c r="O178" s="18"/>
      <c r="P178" s="21"/>
      <c r="Q178" s="7"/>
      <c r="R178" s="9"/>
      <c r="S178" s="9"/>
      <c r="T178" s="9"/>
      <c r="U178" s="7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</row>
    <row r="179" spans="1:31" s="2" customFormat="1" x14ac:dyDescent="0.2">
      <c r="A179" s="77"/>
      <c r="B179" s="77"/>
      <c r="C179" s="263"/>
      <c r="D179" s="263"/>
      <c r="E179" s="83"/>
      <c r="F179" s="83"/>
      <c r="G179" s="264" t="s">
        <v>370</v>
      </c>
      <c r="H179" s="265"/>
      <c r="I179" s="265"/>
      <c r="J179" s="266"/>
      <c r="K179" s="7"/>
      <c r="L179" s="7"/>
      <c r="N179" s="76"/>
      <c r="O179" s="21"/>
      <c r="P179" s="7"/>
      <c r="Q179" s="7"/>
      <c r="R179" s="1"/>
      <c r="S179" s="1"/>
      <c r="T179" s="1"/>
    </row>
    <row r="180" spans="1:31" x14ac:dyDescent="0.2">
      <c r="B180" s="77"/>
      <c r="C180" s="263"/>
      <c r="D180" s="263"/>
      <c r="E180" s="85"/>
      <c r="F180" s="85"/>
      <c r="G180" s="267"/>
      <c r="H180" s="268"/>
      <c r="I180" s="268"/>
      <c r="J180" s="269"/>
      <c r="K180" s="10"/>
      <c r="L180" s="10"/>
      <c r="M180" s="2"/>
      <c r="N180" s="73"/>
      <c r="O180" s="168"/>
      <c r="P180" s="2"/>
      <c r="Q180" s="2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">
      <c r="B181" s="77"/>
      <c r="C181" s="263"/>
      <c r="D181" s="263"/>
      <c r="E181" s="89"/>
      <c r="F181" s="85"/>
      <c r="G181" s="267"/>
      <c r="H181" s="268"/>
      <c r="I181" s="268"/>
      <c r="J181" s="269"/>
      <c r="K181" s="10"/>
      <c r="L181" s="10"/>
      <c r="M181" s="2"/>
      <c r="N181" s="73"/>
      <c r="O181" s="168"/>
      <c r="P181" s="2"/>
      <c r="Q181" s="2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" x14ac:dyDescent="0.2">
      <c r="B182" s="77"/>
      <c r="D182" s="84"/>
      <c r="E182" s="85"/>
      <c r="F182" s="85"/>
      <c r="G182" s="267"/>
      <c r="H182" s="268"/>
      <c r="I182" s="268"/>
      <c r="J182" s="269"/>
      <c r="K182" s="10"/>
      <c r="L182" s="10"/>
      <c r="M182" s="2"/>
      <c r="N182" s="12"/>
      <c r="O182" s="169"/>
      <c r="P182" s="2"/>
      <c r="Q182" s="2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" x14ac:dyDescent="0.2">
      <c r="B183" s="77"/>
      <c r="D183" s="84"/>
      <c r="E183" s="85"/>
      <c r="F183" s="85"/>
      <c r="G183" s="267"/>
      <c r="H183" s="268"/>
      <c r="I183" s="268"/>
      <c r="J183" s="269"/>
      <c r="K183" s="10"/>
      <c r="L183" s="10"/>
      <c r="M183" s="2"/>
      <c r="N183" s="12"/>
      <c r="O183" s="169"/>
      <c r="P183" s="2"/>
      <c r="Q183" s="2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3.5" thickBot="1" x14ac:dyDescent="0.25">
      <c r="A184" s="175"/>
      <c r="B184" s="98"/>
      <c r="C184" s="98"/>
      <c r="D184" s="98"/>
      <c r="E184" s="99"/>
      <c r="F184" s="99"/>
      <c r="G184" s="267"/>
      <c r="H184" s="268"/>
      <c r="I184" s="268"/>
      <c r="J184" s="269"/>
      <c r="K184" s="10"/>
      <c r="L184" s="10"/>
      <c r="M184" s="2"/>
      <c r="N184" s="12"/>
      <c r="O184" s="169"/>
      <c r="P184" s="2"/>
      <c r="Q184" s="2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21.75" x14ac:dyDescent="0.2">
      <c r="A185" s="176" t="s">
        <v>46</v>
      </c>
      <c r="B185" s="101" t="s">
        <v>47</v>
      </c>
      <c r="C185" s="101" t="s">
        <v>48</v>
      </c>
      <c r="D185" s="101" t="s">
        <v>49</v>
      </c>
      <c r="E185" s="113" t="s">
        <v>50</v>
      </c>
      <c r="F185" s="99"/>
      <c r="G185" s="267"/>
      <c r="H185" s="268"/>
      <c r="I185" s="268"/>
      <c r="J185" s="269"/>
    </row>
    <row r="186" spans="1:31" x14ac:dyDescent="0.2">
      <c r="A186" s="102">
        <v>1</v>
      </c>
      <c r="B186" s="90" t="s">
        <v>51</v>
      </c>
      <c r="C186" s="91" t="s">
        <v>60</v>
      </c>
      <c r="D186" s="90"/>
      <c r="E186" s="103"/>
      <c r="F186" s="100"/>
      <c r="G186" s="267"/>
      <c r="H186" s="268"/>
      <c r="I186" s="268"/>
      <c r="J186" s="269"/>
    </row>
    <row r="187" spans="1:31" x14ac:dyDescent="0.2">
      <c r="A187" s="102">
        <v>2</v>
      </c>
      <c r="B187" s="90" t="s">
        <v>51</v>
      </c>
      <c r="C187" s="91" t="s">
        <v>52</v>
      </c>
      <c r="D187" s="90"/>
      <c r="E187" s="103"/>
      <c r="F187" s="100"/>
      <c r="G187" s="267"/>
      <c r="H187" s="268"/>
      <c r="I187" s="268"/>
      <c r="J187" s="269"/>
    </row>
    <row r="188" spans="1:31" x14ac:dyDescent="0.2">
      <c r="A188" s="102">
        <v>3</v>
      </c>
      <c r="B188" s="90"/>
      <c r="C188" s="91" t="s">
        <v>53</v>
      </c>
      <c r="D188" s="94">
        <f>D189+D190</f>
        <v>0</v>
      </c>
      <c r="E188" s="104">
        <f>E189+E190</f>
        <v>0</v>
      </c>
      <c r="F188" s="100"/>
      <c r="G188" s="267"/>
      <c r="H188" s="268"/>
      <c r="I188" s="268"/>
      <c r="J188" s="269"/>
    </row>
    <row r="189" spans="1:31" x14ac:dyDescent="0.2">
      <c r="A189" s="102">
        <v>4</v>
      </c>
      <c r="B189" s="90" t="s">
        <v>54</v>
      </c>
      <c r="C189" s="91" t="s">
        <v>55</v>
      </c>
      <c r="D189" s="90"/>
      <c r="E189" s="104"/>
      <c r="F189" s="100"/>
      <c r="G189" s="267"/>
      <c r="H189" s="268"/>
      <c r="I189" s="268"/>
      <c r="J189" s="269"/>
    </row>
    <row r="190" spans="1:31" x14ac:dyDescent="0.2">
      <c r="A190" s="102">
        <v>5</v>
      </c>
      <c r="B190" s="90" t="s">
        <v>51</v>
      </c>
      <c r="C190" s="91" t="s">
        <v>56</v>
      </c>
      <c r="D190" s="90"/>
      <c r="E190" s="104"/>
      <c r="F190" s="100"/>
      <c r="G190" s="270"/>
      <c r="H190" s="271"/>
      <c r="I190" s="271"/>
      <c r="J190" s="272"/>
    </row>
    <row r="191" spans="1:31" x14ac:dyDescent="0.2">
      <c r="A191" s="102">
        <v>6</v>
      </c>
      <c r="B191" s="90" t="s">
        <v>54</v>
      </c>
      <c r="C191" s="91" t="s">
        <v>65</v>
      </c>
      <c r="D191" s="90"/>
      <c r="E191" s="104"/>
      <c r="F191" s="100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25.5" x14ac:dyDescent="0.2">
      <c r="A192" s="102">
        <v>7</v>
      </c>
      <c r="B192" s="90" t="s">
        <v>57</v>
      </c>
      <c r="C192" s="92" t="s">
        <v>66</v>
      </c>
      <c r="D192" s="90"/>
      <c r="E192" s="104"/>
      <c r="F192" s="100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25.5" x14ac:dyDescent="0.2">
      <c r="A193" s="102">
        <v>8</v>
      </c>
      <c r="B193" s="90" t="s">
        <v>57</v>
      </c>
      <c r="C193" s="92" t="s">
        <v>67</v>
      </c>
      <c r="D193" s="90"/>
      <c r="E193" s="104"/>
      <c r="F193" s="100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">
      <c r="A194" s="102">
        <v>9</v>
      </c>
      <c r="B194" s="90" t="s">
        <v>54</v>
      </c>
      <c r="C194" s="91" t="s">
        <v>62</v>
      </c>
      <c r="D194" s="90"/>
      <c r="E194" s="104"/>
      <c r="F194" s="100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">
      <c r="A195" s="102">
        <v>10</v>
      </c>
      <c r="B195" s="90" t="s">
        <v>51</v>
      </c>
      <c r="C195" s="91" t="s">
        <v>58</v>
      </c>
      <c r="D195" s="90"/>
      <c r="E195" s="104"/>
      <c r="F195" s="100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3.5" thickBot="1" x14ac:dyDescent="0.25">
      <c r="A196" s="105">
        <v>11</v>
      </c>
      <c r="B196" s="106" t="s">
        <v>51</v>
      </c>
      <c r="C196" s="107" t="s">
        <v>61</v>
      </c>
      <c r="D196" s="108"/>
      <c r="E196" s="109"/>
      <c r="F196" s="100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3.5" thickBot="1" x14ac:dyDescent="0.25">
      <c r="A197" s="177"/>
      <c r="B197" s="131"/>
      <c r="C197" s="93" t="s">
        <v>59</v>
      </c>
      <c r="D197" s="110">
        <f>D186+D187+D196+(D194*D191)+(D194*D192)+(D194*D193)</f>
        <v>0</v>
      </c>
      <c r="E197" s="110">
        <f>E186+E187+E196+(E194*E191)+(E194*E192)+(E194*E193)</f>
        <v>0</v>
      </c>
      <c r="F197" s="100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">
      <c r="B198" s="77"/>
      <c r="C198" s="111" t="s">
        <v>68</v>
      </c>
      <c r="E198" s="112" t="e">
        <f>E196/E189</f>
        <v>#DIV/0!</v>
      </c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">
      <c r="B199" s="77"/>
      <c r="C199" s="111" t="s">
        <v>69</v>
      </c>
      <c r="E199" s="170" t="e">
        <f>1-E189/E195</f>
        <v>#DIV/0!</v>
      </c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">
      <c r="B200" s="77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">
      <c r="B201" s="77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">
      <c r="B202" s="77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">
      <c r="B203" s="77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">
      <c r="B204" s="77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">
      <c r="B205" s="77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">
      <c r="B206" s="77"/>
      <c r="R206" s="74"/>
      <c r="S206" s="74"/>
      <c r="T206" s="74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">
      <c r="B207" s="77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">
      <c r="B208" s="77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2:31" x14ac:dyDescent="0.2">
      <c r="B209" s="77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2:31" x14ac:dyDescent="0.2">
      <c r="B210" s="77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2:31" x14ac:dyDescent="0.2">
      <c r="B211" s="77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2:31" x14ac:dyDescent="0.2">
      <c r="B212" s="77"/>
      <c r="R212" s="74"/>
      <c r="S212" s="74"/>
      <c r="T212" s="74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2:31" x14ac:dyDescent="0.2">
      <c r="B213" s="77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2:31" x14ac:dyDescent="0.2">
      <c r="B214" s="77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2:31" x14ac:dyDescent="0.2">
      <c r="B215" s="77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2:31" x14ac:dyDescent="0.2">
      <c r="B216" s="77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2:31" x14ac:dyDescent="0.2">
      <c r="B217" s="77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2:31" x14ac:dyDescent="0.2">
      <c r="B218" s="77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2:31" x14ac:dyDescent="0.2">
      <c r="B219" s="77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2:31" x14ac:dyDescent="0.2">
      <c r="B220" s="77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2:31" x14ac:dyDescent="0.2">
      <c r="B221" s="77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2:31" x14ac:dyDescent="0.2">
      <c r="B222" s="77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2:31" x14ac:dyDescent="0.2">
      <c r="B223" s="7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2:31" x14ac:dyDescent="0.2">
      <c r="B224" s="7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2:31" x14ac:dyDescent="0.2">
      <c r="B225" s="7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2:31" x14ac:dyDescent="0.2">
      <c r="B226" s="7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2:31" x14ac:dyDescent="0.2">
      <c r="B227" s="7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2:31" x14ac:dyDescent="0.2">
      <c r="B228" s="7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2:31" x14ac:dyDescent="0.2">
      <c r="B229" s="7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2:31" x14ac:dyDescent="0.2">
      <c r="B230" s="7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2:31" x14ac:dyDescent="0.2">
      <c r="B231" s="7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2:31" x14ac:dyDescent="0.2">
      <c r="B232" s="7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2:31" x14ac:dyDescent="0.2">
      <c r="B233" s="7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2:31" x14ac:dyDescent="0.2">
      <c r="B234" s="7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2:31" x14ac:dyDescent="0.2">
      <c r="B235" s="7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2:31" x14ac:dyDescent="0.2">
      <c r="B236" s="7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2:31" x14ac:dyDescent="0.2">
      <c r="B237" s="7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2:31" x14ac:dyDescent="0.2">
      <c r="B238" s="7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2:31" x14ac:dyDescent="0.2">
      <c r="B239" s="77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2:31" x14ac:dyDescent="0.2">
      <c r="B240" s="77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2:31" x14ac:dyDescent="0.2">
      <c r="B241" s="77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2:31" x14ac:dyDescent="0.2">
      <c r="B242" s="77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2:31" x14ac:dyDescent="0.2">
      <c r="B243" s="77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2:31" x14ac:dyDescent="0.2">
      <c r="B244" s="77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2:31" x14ac:dyDescent="0.2">
      <c r="B245" s="77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2:31" x14ac:dyDescent="0.2">
      <c r="B246" s="77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2:31" x14ac:dyDescent="0.2">
      <c r="B247" s="77"/>
      <c r="S247" s="183" t="e">
        <f>#REF!-R247</f>
        <v>#REF!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2:31" x14ac:dyDescent="0.2">
      <c r="B248" s="77"/>
      <c r="S248" s="183" t="e">
        <f>#REF!-R248</f>
        <v>#REF!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2:31" x14ac:dyDescent="0.2">
      <c r="B249" s="77"/>
      <c r="S249" s="183" t="e">
        <f>#REF!-R249</f>
        <v>#REF!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2:31" x14ac:dyDescent="0.2">
      <c r="B250" s="77"/>
      <c r="S250" s="183" t="e">
        <f>#REF!-R250</f>
        <v>#REF!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2:31" x14ac:dyDescent="0.2">
      <c r="B251" s="77"/>
      <c r="S251" s="183" t="e">
        <f>#REF!-R251</f>
        <v>#REF!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2:31" x14ac:dyDescent="0.2">
      <c r="B252" s="77"/>
      <c r="S252" s="183" t="e">
        <f>#REF!-R252</f>
        <v>#REF!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2:31" x14ac:dyDescent="0.2">
      <c r="B253" s="77"/>
      <c r="S253" s="183" t="e">
        <f>#REF!-R253</f>
        <v>#REF!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2:31" x14ac:dyDescent="0.2">
      <c r="B254" s="77"/>
      <c r="S254" s="183" t="e">
        <f>#REF!-R254</f>
        <v>#REF!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2:31" x14ac:dyDescent="0.2">
      <c r="B255" s="77"/>
      <c r="S255" s="183" t="e">
        <f>#REF!-R255</f>
        <v>#REF!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2:31" x14ac:dyDescent="0.2">
      <c r="B256" s="77"/>
      <c r="S256" s="183" t="e">
        <f>#REF!-R256</f>
        <v>#REF!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2:31" x14ac:dyDescent="0.2">
      <c r="B257" s="77"/>
      <c r="S257" s="183" t="e">
        <f>#REF!-R257</f>
        <v>#REF!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2:31" x14ac:dyDescent="0.2">
      <c r="B258" s="77"/>
      <c r="S258" s="183" t="e">
        <f>#REF!-R258</f>
        <v>#REF!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2:31" x14ac:dyDescent="0.2">
      <c r="B259" s="77"/>
      <c r="S259" s="183" t="e">
        <f>#REF!-R259</f>
        <v>#REF!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2:31" x14ac:dyDescent="0.2">
      <c r="B260" s="77"/>
      <c r="S260" s="183" t="e">
        <f>#REF!-R260</f>
        <v>#REF!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2:31" x14ac:dyDescent="0.2">
      <c r="B261" s="77"/>
      <c r="S261" s="183" t="e">
        <f>#REF!-R261</f>
        <v>#REF!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2:31" x14ac:dyDescent="0.2">
      <c r="B262" s="77"/>
      <c r="S262" s="183" t="e">
        <f>#REF!-R262</f>
        <v>#REF!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2:31" x14ac:dyDescent="0.2">
      <c r="B263" s="77"/>
      <c r="S263" s="183" t="e">
        <f>#REF!-R263</f>
        <v>#REF!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2:31" x14ac:dyDescent="0.2">
      <c r="B264" s="77"/>
      <c r="S264" s="183" t="e">
        <f>#REF!-R264</f>
        <v>#REF!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2:31" x14ac:dyDescent="0.2">
      <c r="B265" s="77"/>
      <c r="S265" s="183" t="e">
        <f>#REF!-R265</f>
        <v>#REF!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2:31" x14ac:dyDescent="0.2">
      <c r="B266" s="77"/>
      <c r="S266" s="183" t="e">
        <f>#REF!-R266</f>
        <v>#REF!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2:31" x14ac:dyDescent="0.2">
      <c r="B267" s="77"/>
      <c r="S267" s="183" t="e">
        <f>#REF!-R267</f>
        <v>#REF!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2:31" x14ac:dyDescent="0.2">
      <c r="B268" s="77"/>
      <c r="S268" s="183" t="e">
        <f>#REF!-R268</f>
        <v>#REF!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2:31" x14ac:dyDescent="0.2">
      <c r="S269" s="183" t="e">
        <f>#REF!-R269</f>
        <v>#REF!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2:31" x14ac:dyDescent="0.2">
      <c r="S270" s="183" t="e">
        <f>#REF!-R270</f>
        <v>#REF!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2:31" x14ac:dyDescent="0.2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S271" s="183" t="e">
        <f>#REF!-R271</f>
        <v>#REF!</v>
      </c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2:31" x14ac:dyDescent="0.2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S272" s="183" t="e">
        <f>#REF!-R272</f>
        <v>#REF!</v>
      </c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2:31" x14ac:dyDescent="0.2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63"/>
      <c r="S273" s="63"/>
      <c r="T273" s="63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2:31" x14ac:dyDescent="0.2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63"/>
      <c r="S274" s="63"/>
      <c r="T274" s="63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2:31" x14ac:dyDescent="0.2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63"/>
      <c r="S275" s="63"/>
      <c r="T275" s="63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7" spans="2:31" x14ac:dyDescent="0.2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74"/>
      <c r="S277" s="74"/>
      <c r="T277" s="74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2:31" x14ac:dyDescent="0.2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74"/>
      <c r="S278" s="74"/>
      <c r="T278" s="74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2:31" x14ac:dyDescent="0.2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74"/>
      <c r="S279" s="74"/>
      <c r="T279" s="74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2:31" x14ac:dyDescent="0.2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74"/>
      <c r="S280" s="74"/>
      <c r="T280" s="74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2:31" x14ac:dyDescent="0.2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74"/>
      <c r="S281" s="74"/>
      <c r="T281" s="74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2:31" x14ac:dyDescent="0.2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74"/>
      <c r="S282" s="74"/>
      <c r="T282" s="74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300" spans="7:7" ht="306" x14ac:dyDescent="0.2">
      <c r="G300" s="251" t="s">
        <v>991</v>
      </c>
    </row>
  </sheetData>
  <sheetProtection formatCells="0" sort="0" autoFilter="0" pivotTables="0"/>
  <mergeCells count="10">
    <mergeCell ref="C177:D181"/>
    <mergeCell ref="G179:J190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167:N172 N160">
    <cfRule type="expression" dxfId="116" priority="135" stopIfTrue="1">
      <formula>IF(AND(ISBLANK(N160),IF(L160&lt;TODAY(),TRUE,FALSE))=FALSE,FALSE,TRUE)</formula>
    </cfRule>
    <cfRule type="expression" dxfId="115" priority="136" stopIfTrue="1">
      <formula>IF(AND(IF(M160="",FALSE,TRUE),IF(N160="",FALSE,TRUE))=TRUE,TRUE,FALSE)</formula>
    </cfRule>
  </conditionalFormatting>
  <conditionalFormatting sqref="O167:O172 O160">
    <cfRule type="expression" dxfId="114" priority="134" stopIfTrue="1">
      <formula>IF(OR(ISNUMBER(O160),ISBLANK(F160)),FALSE,TRUE)</formula>
    </cfRule>
  </conditionalFormatting>
  <conditionalFormatting sqref="L167:L172 L160">
    <cfRule type="expression" dxfId="113" priority="131" stopIfTrue="1">
      <formula>IF(AND(IF(L160&lt;TODAY(),TRUE,FALSE),ISBLANK(N160)),TRUE,FALSE)</formula>
    </cfRule>
    <cfRule type="expression" dxfId="112" priority="132" stopIfTrue="1">
      <formula>IF(AND(IF(M160="",FALSE,TRUE),IF(N160="",FALSE,TRUE))=TRUE,TRUE,FALSE)</formula>
    </cfRule>
    <cfRule type="expression" dxfId="111" priority="133" stopIfTrue="1">
      <formula>IF(AND(IF(L160&lt;TODAY(),TRUE,FALSE),ISBLANK(M160)),TRUE,FALSE)</formula>
    </cfRule>
  </conditionalFormatting>
  <conditionalFormatting sqref="M167:M172 M160">
    <cfRule type="expression" dxfId="110" priority="128" stopIfTrue="1">
      <formula>IF(AND(IF(M160="",FALSE,TRUE),IF(N160="",FALSE,TRUE))=TRUE,TRUE,FALSE)</formula>
    </cfRule>
    <cfRule type="expression" dxfId="109" priority="129" stopIfTrue="1">
      <formula>IF(AND(ISBLANK(M160),IF(L160&lt;TODAY(),TRUE,FALSE))=FALSE,FALSE,TRUE)</formula>
    </cfRule>
    <cfRule type="expression" dxfId="108" priority="130" stopIfTrue="1">
      <formula>IF(AND(IF(L160="",FALSE,TRUE),IF(M160="",FALSE,TRUE))=FALSE,TRUE,FALSE)</formula>
    </cfRule>
  </conditionalFormatting>
  <conditionalFormatting sqref="I171:I172 Q154:Q172">
    <cfRule type="cellIs" dxfId="107" priority="127" stopIfTrue="1" operator="greaterThan">
      <formula>0</formula>
    </cfRule>
  </conditionalFormatting>
  <conditionalFormatting sqref="P173:P174">
    <cfRule type="expression" dxfId="106" priority="126" stopIfTrue="1">
      <formula>IF(P173="",FALSE,TRUE)</formula>
    </cfRule>
  </conditionalFormatting>
  <conditionalFormatting sqref="I160:I170 I8:I153">
    <cfRule type="cellIs" dxfId="105" priority="125" stopIfTrue="1" operator="greaterThan">
      <formula>0</formula>
    </cfRule>
  </conditionalFormatting>
  <conditionalFormatting sqref="N154:N159">
    <cfRule type="expression" dxfId="104" priority="116" stopIfTrue="1">
      <formula>IF(AND(ISBLANK(N154),IF(L154&lt;TODAY(),TRUE,FALSE))=FALSE,FALSE,TRUE)</formula>
    </cfRule>
    <cfRule type="expression" dxfId="103" priority="117" stopIfTrue="1">
      <formula>IF(AND(IF(M154="",FALSE,TRUE),IF(N154="",FALSE,TRUE))=TRUE,TRUE,FALSE)</formula>
    </cfRule>
  </conditionalFormatting>
  <conditionalFormatting sqref="O154:O159">
    <cfRule type="expression" dxfId="102" priority="118" stopIfTrue="1">
      <formula>IF(OR(ISNUMBER(O154),ISBLANK(F154)),FALSE,TRUE)</formula>
    </cfRule>
  </conditionalFormatting>
  <conditionalFormatting sqref="L154:L159">
    <cfRule type="expression" dxfId="101" priority="119" stopIfTrue="1">
      <formula>IF(AND(IF(L154&lt;TODAY(),TRUE,FALSE),ISBLANK(N154)),TRUE,FALSE)</formula>
    </cfRule>
    <cfRule type="expression" dxfId="100" priority="120" stopIfTrue="1">
      <formula>IF(AND(IF(M154="",FALSE,TRUE),IF(N154="",FALSE,TRUE))=TRUE,TRUE,FALSE)</formula>
    </cfRule>
    <cfRule type="expression" dxfId="99" priority="121" stopIfTrue="1">
      <formula>IF(AND(IF(L154&lt;TODAY(),TRUE,FALSE),ISBLANK(M154)),TRUE,FALSE)</formula>
    </cfRule>
  </conditionalFormatting>
  <conditionalFormatting sqref="M154:M159">
    <cfRule type="expression" dxfId="98" priority="122" stopIfTrue="1">
      <formula>IF(AND(IF(M154="",FALSE,TRUE),IF(N154="",FALSE,TRUE))=TRUE,TRUE,FALSE)</formula>
    </cfRule>
    <cfRule type="expression" dxfId="97" priority="123" stopIfTrue="1">
      <formula>IF(AND(ISBLANK(M154),IF(L154&lt;TODAY(),TRUE,FALSE))=FALSE,FALSE,TRUE)</formula>
    </cfRule>
    <cfRule type="expression" dxfId="96" priority="124" stopIfTrue="1">
      <formula>IF(AND(IF(L154="",FALSE,TRUE),IF(M154="",FALSE,TRUE))=FALSE,TRUE,FALSE)</formula>
    </cfRule>
  </conditionalFormatting>
  <conditionalFormatting sqref="N161:N162">
    <cfRule type="expression" dxfId="95" priority="105" stopIfTrue="1">
      <formula>IF(AND(ISBLANK(N161),IF(L161&lt;TODAY(),TRUE,FALSE))=FALSE,FALSE,TRUE)</formula>
    </cfRule>
    <cfRule type="expression" dxfId="94" priority="106" stopIfTrue="1">
      <formula>IF(AND(IF(M161="",FALSE,TRUE),IF(N161="",FALSE,TRUE))=TRUE,TRUE,FALSE)</formula>
    </cfRule>
  </conditionalFormatting>
  <conditionalFormatting sqref="O161:O162">
    <cfRule type="expression" dxfId="93" priority="104" stopIfTrue="1">
      <formula>IF(OR(ISNUMBER(O161),ISBLANK(F161)),FALSE,TRUE)</formula>
    </cfRule>
  </conditionalFormatting>
  <conditionalFormatting sqref="L161:L162">
    <cfRule type="expression" dxfId="92" priority="101" stopIfTrue="1">
      <formula>IF(AND(IF(L161&lt;TODAY(),TRUE,FALSE),ISBLANK(N161)),TRUE,FALSE)</formula>
    </cfRule>
    <cfRule type="expression" dxfId="91" priority="102" stopIfTrue="1">
      <formula>IF(AND(IF(M161="",FALSE,TRUE),IF(N161="",FALSE,TRUE))=TRUE,TRUE,FALSE)</formula>
    </cfRule>
    <cfRule type="expression" dxfId="90" priority="103" stopIfTrue="1">
      <formula>IF(AND(IF(L161&lt;TODAY(),TRUE,FALSE),ISBLANK(M161)),TRUE,FALSE)</formula>
    </cfRule>
  </conditionalFormatting>
  <conditionalFormatting sqref="M161:M162">
    <cfRule type="expression" dxfId="89" priority="98" stopIfTrue="1">
      <formula>IF(AND(IF(M161="",FALSE,TRUE),IF(N161="",FALSE,TRUE))=TRUE,TRUE,FALSE)</formula>
    </cfRule>
    <cfRule type="expression" dxfId="88" priority="99" stopIfTrue="1">
      <formula>IF(AND(ISBLANK(M161),IF(L161&lt;TODAY(),TRUE,FALSE))=FALSE,FALSE,TRUE)</formula>
    </cfRule>
    <cfRule type="expression" dxfId="87" priority="100" stopIfTrue="1">
      <formula>IF(AND(IF(L161="",FALSE,TRUE),IF(M161="",FALSE,TRUE))=FALSE,TRUE,FALSE)</formula>
    </cfRule>
  </conditionalFormatting>
  <conditionalFormatting sqref="N163:N166">
    <cfRule type="expression" dxfId="86" priority="96" stopIfTrue="1">
      <formula>IF(AND(ISBLANK(N163),IF(L163&lt;TODAY(),TRUE,FALSE))=FALSE,FALSE,TRUE)</formula>
    </cfRule>
    <cfRule type="expression" dxfId="85" priority="97" stopIfTrue="1">
      <formula>IF(AND(IF(M163="",FALSE,TRUE),IF(N163="",FALSE,TRUE))=TRUE,TRUE,FALSE)</formula>
    </cfRule>
  </conditionalFormatting>
  <conditionalFormatting sqref="O163:O166">
    <cfRule type="expression" dxfId="84" priority="95" stopIfTrue="1">
      <formula>IF(OR(ISNUMBER(O163),ISBLANK(F163)),FALSE,TRUE)</formula>
    </cfRule>
  </conditionalFormatting>
  <conditionalFormatting sqref="L163:L166">
    <cfRule type="expression" dxfId="83" priority="92" stopIfTrue="1">
      <formula>IF(AND(IF(L163&lt;TODAY(),TRUE,FALSE),ISBLANK(N163)),TRUE,FALSE)</formula>
    </cfRule>
    <cfRule type="expression" dxfId="82" priority="93" stopIfTrue="1">
      <formula>IF(AND(IF(M163="",FALSE,TRUE),IF(N163="",FALSE,TRUE))=TRUE,TRUE,FALSE)</formula>
    </cfRule>
    <cfRule type="expression" dxfId="81" priority="94" stopIfTrue="1">
      <formula>IF(AND(IF(L163&lt;TODAY(),TRUE,FALSE),ISBLANK(M163)),TRUE,FALSE)</formula>
    </cfRule>
  </conditionalFormatting>
  <conditionalFormatting sqref="M163:M166">
    <cfRule type="expression" dxfId="80" priority="89" stopIfTrue="1">
      <formula>IF(AND(IF(M163="",FALSE,TRUE),IF(N163="",FALSE,TRUE))=TRUE,TRUE,FALSE)</formula>
    </cfRule>
    <cfRule type="expression" dxfId="79" priority="90" stopIfTrue="1">
      <formula>IF(AND(ISBLANK(M163),IF(L163&lt;TODAY(),TRUE,FALSE))=FALSE,FALSE,TRUE)</formula>
    </cfRule>
    <cfRule type="expression" dxfId="78" priority="91" stopIfTrue="1">
      <formula>IF(AND(IF(L163="",FALSE,TRUE),IF(M163="",FALSE,TRUE))=FALSE,TRUE,FALSE)</formula>
    </cfRule>
  </conditionalFormatting>
  <conditionalFormatting sqref="N168:N170">
    <cfRule type="expression" dxfId="77" priority="78" stopIfTrue="1">
      <formula>IF(AND(ISBLANK(N168),IF(L168&lt;TODAY(),TRUE,FALSE))=FALSE,FALSE,TRUE)</formula>
    </cfRule>
    <cfRule type="expression" dxfId="76" priority="79" stopIfTrue="1">
      <formula>IF(AND(IF(M168="",FALSE,TRUE),IF(N168="",FALSE,TRUE))=TRUE,TRUE,FALSE)</formula>
    </cfRule>
  </conditionalFormatting>
  <conditionalFormatting sqref="O168:O170">
    <cfRule type="expression" dxfId="75" priority="77" stopIfTrue="1">
      <formula>IF(OR(ISNUMBER(O168),ISBLANK(F168)),FALSE,TRUE)</formula>
    </cfRule>
  </conditionalFormatting>
  <conditionalFormatting sqref="L168:L170">
    <cfRule type="expression" dxfId="74" priority="74" stopIfTrue="1">
      <formula>IF(AND(IF(L168&lt;TODAY(),TRUE,FALSE),ISBLANK(N168)),TRUE,FALSE)</formula>
    </cfRule>
    <cfRule type="expression" dxfId="73" priority="75" stopIfTrue="1">
      <formula>IF(AND(IF(M168="",FALSE,TRUE),IF(N168="",FALSE,TRUE))=TRUE,TRUE,FALSE)</formula>
    </cfRule>
    <cfRule type="expression" dxfId="72" priority="76" stopIfTrue="1">
      <formula>IF(AND(IF(L168&lt;TODAY(),TRUE,FALSE),ISBLANK(M168)),TRUE,FALSE)</formula>
    </cfRule>
  </conditionalFormatting>
  <conditionalFormatting sqref="M168:M170">
    <cfRule type="expression" dxfId="71" priority="71" stopIfTrue="1">
      <formula>IF(AND(IF(M168="",FALSE,TRUE),IF(N168="",FALSE,TRUE))=TRUE,TRUE,FALSE)</formula>
    </cfRule>
    <cfRule type="expression" dxfId="70" priority="72" stopIfTrue="1">
      <formula>IF(AND(ISBLANK(M168),IF(L168&lt;TODAY(),TRUE,FALSE))=FALSE,FALSE,TRUE)</formula>
    </cfRule>
    <cfRule type="expression" dxfId="69" priority="73" stopIfTrue="1">
      <formula>IF(AND(IF(L168="",FALSE,TRUE),IF(M168="",FALSE,TRUE))=FALSE,TRUE,FALSE)</formula>
    </cfRule>
  </conditionalFormatting>
  <conditionalFormatting sqref="Q168:Q170">
    <cfRule type="cellIs" dxfId="68" priority="70" stopIfTrue="1" operator="greaterThan">
      <formula>0</formula>
    </cfRule>
  </conditionalFormatting>
  <conditionalFormatting sqref="N169:N170">
    <cfRule type="expression" dxfId="67" priority="68" stopIfTrue="1">
      <formula>IF(AND(ISBLANK(N169),IF(L169&lt;TODAY(),TRUE,FALSE))=FALSE,FALSE,TRUE)</formula>
    </cfRule>
    <cfRule type="expression" dxfId="66" priority="69" stopIfTrue="1">
      <formula>IF(AND(IF(M169="",FALSE,TRUE),IF(N169="",FALSE,TRUE))=TRUE,TRUE,FALSE)</formula>
    </cfRule>
  </conditionalFormatting>
  <conditionalFormatting sqref="O169:O170">
    <cfRule type="expression" dxfId="65" priority="67" stopIfTrue="1">
      <formula>IF(OR(ISNUMBER(O169),ISBLANK(F169)),FALSE,TRUE)</formula>
    </cfRule>
  </conditionalFormatting>
  <conditionalFormatting sqref="L169:L170">
    <cfRule type="expression" dxfId="64" priority="64" stopIfTrue="1">
      <formula>IF(AND(IF(L169&lt;TODAY(),TRUE,FALSE),ISBLANK(N169)),TRUE,FALSE)</formula>
    </cfRule>
    <cfRule type="expression" dxfId="63" priority="65" stopIfTrue="1">
      <formula>IF(AND(IF(M169="",FALSE,TRUE),IF(N169="",FALSE,TRUE))=TRUE,TRUE,FALSE)</formula>
    </cfRule>
    <cfRule type="expression" dxfId="62" priority="66" stopIfTrue="1">
      <formula>IF(AND(IF(L169&lt;TODAY(),TRUE,FALSE),ISBLANK(M169)),TRUE,FALSE)</formula>
    </cfRule>
  </conditionalFormatting>
  <conditionalFormatting sqref="M169:M170">
    <cfRule type="expression" dxfId="61" priority="61" stopIfTrue="1">
      <formula>IF(AND(IF(M169="",FALSE,TRUE),IF(N169="",FALSE,TRUE))=TRUE,TRUE,FALSE)</formula>
    </cfRule>
    <cfRule type="expression" dxfId="60" priority="62" stopIfTrue="1">
      <formula>IF(AND(ISBLANK(M169),IF(L169&lt;TODAY(),TRUE,FALSE))=FALSE,FALSE,TRUE)</formula>
    </cfRule>
    <cfRule type="expression" dxfId="59" priority="63" stopIfTrue="1">
      <formula>IF(AND(IF(L169="",FALSE,TRUE),IF(M169="",FALSE,TRUE))=FALSE,TRUE,FALSE)</formula>
    </cfRule>
  </conditionalFormatting>
  <conditionalFormatting sqref="Q169:Q170">
    <cfRule type="cellIs" dxfId="58" priority="60" stopIfTrue="1" operator="greaterThan">
      <formula>0</formula>
    </cfRule>
  </conditionalFormatting>
  <conditionalFormatting sqref="I169:I170">
    <cfRule type="cellIs" dxfId="57" priority="59" stopIfTrue="1" operator="greaterThan">
      <formula>0</formula>
    </cfRule>
  </conditionalFormatting>
  <conditionalFormatting sqref="I169:I170">
    <cfRule type="cellIs" dxfId="56" priority="58" stopIfTrue="1" operator="greaterThan">
      <formula>0</formula>
    </cfRule>
  </conditionalFormatting>
  <conditionalFormatting sqref="N170">
    <cfRule type="expression" dxfId="55" priority="56" stopIfTrue="1">
      <formula>IF(AND(ISBLANK(N170),IF(L170&lt;TODAY(),TRUE,FALSE))=FALSE,FALSE,TRUE)</formula>
    </cfRule>
    <cfRule type="expression" dxfId="54" priority="57" stopIfTrue="1">
      <formula>IF(AND(IF(M170="",FALSE,TRUE),IF(N170="",FALSE,TRUE))=TRUE,TRUE,FALSE)</formula>
    </cfRule>
  </conditionalFormatting>
  <conditionalFormatting sqref="O170">
    <cfRule type="expression" dxfId="53" priority="55" stopIfTrue="1">
      <formula>IF(OR(ISNUMBER(O170),ISBLANK(F170)),FALSE,TRUE)</formula>
    </cfRule>
  </conditionalFormatting>
  <conditionalFormatting sqref="L170">
    <cfRule type="expression" dxfId="52" priority="52" stopIfTrue="1">
      <formula>IF(AND(IF(L170&lt;TODAY(),TRUE,FALSE),ISBLANK(N170)),TRUE,FALSE)</formula>
    </cfRule>
    <cfRule type="expression" dxfId="51" priority="53" stopIfTrue="1">
      <formula>IF(AND(IF(M170="",FALSE,TRUE),IF(N170="",FALSE,TRUE))=TRUE,TRUE,FALSE)</formula>
    </cfRule>
    <cfRule type="expression" dxfId="50" priority="54" stopIfTrue="1">
      <formula>IF(AND(IF(L170&lt;TODAY(),TRUE,FALSE),ISBLANK(M170)),TRUE,FALSE)</formula>
    </cfRule>
  </conditionalFormatting>
  <conditionalFormatting sqref="M170">
    <cfRule type="expression" dxfId="49" priority="49" stopIfTrue="1">
      <formula>IF(AND(IF(M170="",FALSE,TRUE),IF(N170="",FALSE,TRUE))=TRUE,TRUE,FALSE)</formula>
    </cfRule>
    <cfRule type="expression" dxfId="48" priority="50" stopIfTrue="1">
      <formula>IF(AND(ISBLANK(M170),IF(L170&lt;TODAY(),TRUE,FALSE))=FALSE,FALSE,TRUE)</formula>
    </cfRule>
    <cfRule type="expression" dxfId="47" priority="51" stopIfTrue="1">
      <formula>IF(AND(IF(L170="",FALSE,TRUE),IF(M170="",FALSE,TRUE))=FALSE,TRUE,FALSE)</formula>
    </cfRule>
  </conditionalFormatting>
  <conditionalFormatting sqref="Q170">
    <cfRule type="cellIs" dxfId="46" priority="48" stopIfTrue="1" operator="greaterThan">
      <formula>0</formula>
    </cfRule>
  </conditionalFormatting>
  <conditionalFormatting sqref="I170">
    <cfRule type="cellIs" dxfId="45" priority="47" stopIfTrue="1" operator="greaterThan">
      <formula>0</formula>
    </cfRule>
  </conditionalFormatting>
  <conditionalFormatting sqref="N170">
    <cfRule type="expression" dxfId="44" priority="45" stopIfTrue="1">
      <formula>IF(AND(ISBLANK(N170),IF(L170&lt;TODAY(),TRUE,FALSE))=FALSE,FALSE,TRUE)</formula>
    </cfRule>
    <cfRule type="expression" dxfId="43" priority="46" stopIfTrue="1">
      <formula>IF(AND(IF(M170="",FALSE,TRUE),IF(N170="",FALSE,TRUE))=TRUE,TRUE,FALSE)</formula>
    </cfRule>
  </conditionalFormatting>
  <conditionalFormatting sqref="O170">
    <cfRule type="expression" dxfId="42" priority="44" stopIfTrue="1">
      <formula>IF(OR(ISNUMBER(O170),ISBLANK(F170)),FALSE,TRUE)</formula>
    </cfRule>
  </conditionalFormatting>
  <conditionalFormatting sqref="L170">
    <cfRule type="expression" dxfId="41" priority="41" stopIfTrue="1">
      <formula>IF(AND(IF(L170&lt;TODAY(),TRUE,FALSE),ISBLANK(N170)),TRUE,FALSE)</formula>
    </cfRule>
    <cfRule type="expression" dxfId="40" priority="42" stopIfTrue="1">
      <formula>IF(AND(IF(M170="",FALSE,TRUE),IF(N170="",FALSE,TRUE))=TRUE,TRUE,FALSE)</formula>
    </cfRule>
    <cfRule type="expression" dxfId="39" priority="43" stopIfTrue="1">
      <formula>IF(AND(IF(L170&lt;TODAY(),TRUE,FALSE),ISBLANK(M170)),TRUE,FALSE)</formula>
    </cfRule>
  </conditionalFormatting>
  <conditionalFormatting sqref="M170">
    <cfRule type="expression" dxfId="38" priority="38" stopIfTrue="1">
      <formula>IF(AND(IF(M170="",FALSE,TRUE),IF(N170="",FALSE,TRUE))=TRUE,TRUE,FALSE)</formula>
    </cfRule>
    <cfRule type="expression" dxfId="37" priority="39" stopIfTrue="1">
      <formula>IF(AND(ISBLANK(M170),IF(L170&lt;TODAY(),TRUE,FALSE))=FALSE,FALSE,TRUE)</formula>
    </cfRule>
    <cfRule type="expression" dxfId="36" priority="40" stopIfTrue="1">
      <formula>IF(AND(IF(L170="",FALSE,TRUE),IF(M170="",FALSE,TRUE))=FALSE,TRUE,FALSE)</formula>
    </cfRule>
  </conditionalFormatting>
  <conditionalFormatting sqref="Q170">
    <cfRule type="cellIs" dxfId="35" priority="37" stopIfTrue="1" operator="greaterThan">
      <formula>0</formula>
    </cfRule>
  </conditionalFormatting>
  <conditionalFormatting sqref="I170">
    <cfRule type="cellIs" dxfId="34" priority="36" stopIfTrue="1" operator="greaterThan">
      <formula>0</formula>
    </cfRule>
  </conditionalFormatting>
  <conditionalFormatting sqref="N170">
    <cfRule type="expression" dxfId="33" priority="34" stopIfTrue="1">
      <formula>IF(AND(ISBLANK(N170),IF(L170&lt;TODAY(),TRUE,FALSE))=FALSE,FALSE,TRUE)</formula>
    </cfRule>
    <cfRule type="expression" dxfId="32" priority="35" stopIfTrue="1">
      <formula>IF(AND(IF(M170="",FALSE,TRUE),IF(N170="",FALSE,TRUE))=TRUE,TRUE,FALSE)</formula>
    </cfRule>
  </conditionalFormatting>
  <conditionalFormatting sqref="O170">
    <cfRule type="expression" dxfId="31" priority="33" stopIfTrue="1">
      <formula>IF(OR(ISNUMBER(O170),ISBLANK(F170)),FALSE,TRUE)</formula>
    </cfRule>
  </conditionalFormatting>
  <conditionalFormatting sqref="L170">
    <cfRule type="expression" dxfId="30" priority="30" stopIfTrue="1">
      <formula>IF(AND(IF(L170&lt;TODAY(),TRUE,FALSE),ISBLANK(N170)),TRUE,FALSE)</formula>
    </cfRule>
    <cfRule type="expression" dxfId="29" priority="31" stopIfTrue="1">
      <formula>IF(AND(IF(M170="",FALSE,TRUE),IF(N170="",FALSE,TRUE))=TRUE,TRUE,FALSE)</formula>
    </cfRule>
    <cfRule type="expression" dxfId="28" priority="32" stopIfTrue="1">
      <formula>IF(AND(IF(L170&lt;TODAY(),TRUE,FALSE),ISBLANK(M170)),TRUE,FALSE)</formula>
    </cfRule>
  </conditionalFormatting>
  <conditionalFormatting sqref="M170">
    <cfRule type="expression" dxfId="27" priority="27" stopIfTrue="1">
      <formula>IF(AND(IF(M170="",FALSE,TRUE),IF(N170="",FALSE,TRUE))=TRUE,TRUE,FALSE)</formula>
    </cfRule>
    <cfRule type="expression" dxfId="26" priority="28" stopIfTrue="1">
      <formula>IF(AND(ISBLANK(M170),IF(L170&lt;TODAY(),TRUE,FALSE))=FALSE,FALSE,TRUE)</formula>
    </cfRule>
    <cfRule type="expression" dxfId="25" priority="29" stopIfTrue="1">
      <formula>IF(AND(IF(L170="",FALSE,TRUE),IF(M170="",FALSE,TRUE))=FALSE,TRUE,FALSE)</formula>
    </cfRule>
  </conditionalFormatting>
  <conditionalFormatting sqref="Q170">
    <cfRule type="cellIs" dxfId="24" priority="26" stopIfTrue="1" operator="greaterThan">
      <formula>0</formula>
    </cfRule>
  </conditionalFormatting>
  <conditionalFormatting sqref="N170">
    <cfRule type="expression" dxfId="23" priority="24" stopIfTrue="1">
      <formula>IF(AND(ISBLANK(N170),IF(L170&lt;TODAY(),TRUE,FALSE))=FALSE,FALSE,TRUE)</formula>
    </cfRule>
    <cfRule type="expression" dxfId="22" priority="25" stopIfTrue="1">
      <formula>IF(AND(IF(M170="",FALSE,TRUE),IF(N170="",FALSE,TRUE))=TRUE,TRUE,FALSE)</formula>
    </cfRule>
  </conditionalFormatting>
  <conditionalFormatting sqref="O170">
    <cfRule type="expression" dxfId="21" priority="23" stopIfTrue="1">
      <formula>IF(OR(ISNUMBER(O170),ISBLANK(F170)),FALSE,TRUE)</formula>
    </cfRule>
  </conditionalFormatting>
  <conditionalFormatting sqref="L170">
    <cfRule type="expression" dxfId="20" priority="20" stopIfTrue="1">
      <formula>IF(AND(IF(L170&lt;TODAY(),TRUE,FALSE),ISBLANK(N170)),TRUE,FALSE)</formula>
    </cfRule>
    <cfRule type="expression" dxfId="19" priority="21" stopIfTrue="1">
      <formula>IF(AND(IF(M170="",FALSE,TRUE),IF(N170="",FALSE,TRUE))=TRUE,TRUE,FALSE)</formula>
    </cfRule>
    <cfRule type="expression" dxfId="18" priority="22" stopIfTrue="1">
      <formula>IF(AND(IF(L170&lt;TODAY(),TRUE,FALSE),ISBLANK(M170)),TRUE,FALSE)</formula>
    </cfRule>
  </conditionalFormatting>
  <conditionalFormatting sqref="M170">
    <cfRule type="expression" dxfId="17" priority="17" stopIfTrue="1">
      <formula>IF(AND(IF(M170="",FALSE,TRUE),IF(N170="",FALSE,TRUE))=TRUE,TRUE,FALSE)</formula>
    </cfRule>
    <cfRule type="expression" dxfId="16" priority="18" stopIfTrue="1">
      <formula>IF(AND(ISBLANK(M170),IF(L170&lt;TODAY(),TRUE,FALSE))=FALSE,FALSE,TRUE)</formula>
    </cfRule>
    <cfRule type="expression" dxfId="15" priority="19" stopIfTrue="1">
      <formula>IF(AND(IF(L170="",FALSE,TRUE),IF(M170="",FALSE,TRUE))=FALSE,TRUE,FALSE)</formula>
    </cfRule>
  </conditionalFormatting>
  <conditionalFormatting sqref="Q170">
    <cfRule type="cellIs" dxfId="14" priority="16" stopIfTrue="1" operator="greaterThan">
      <formula>0</formula>
    </cfRule>
  </conditionalFormatting>
  <conditionalFormatting sqref="I170">
    <cfRule type="cellIs" dxfId="13" priority="15" stopIfTrue="1" operator="greaterThan">
      <formula>0</formula>
    </cfRule>
  </conditionalFormatting>
  <conditionalFormatting sqref="I170">
    <cfRule type="cellIs" dxfId="12" priority="14" stopIfTrue="1" operator="greaterThan">
      <formula>0</formula>
    </cfRule>
  </conditionalFormatting>
  <conditionalFormatting sqref="N170">
    <cfRule type="expression" dxfId="11" priority="12" stopIfTrue="1">
      <formula>IF(AND(ISBLANK(N170),IF(L170&lt;TODAY(),TRUE,FALSE))=FALSE,FALSE,TRUE)</formula>
    </cfRule>
    <cfRule type="expression" dxfId="10" priority="13" stopIfTrue="1">
      <formula>IF(AND(IF(M170="",FALSE,TRUE),IF(N170="",FALSE,TRUE))=TRUE,TRUE,FALSE)</formula>
    </cfRule>
  </conditionalFormatting>
  <conditionalFormatting sqref="O170">
    <cfRule type="expression" dxfId="9" priority="11" stopIfTrue="1">
      <formula>IF(OR(ISNUMBER(O170),ISBLANK(F170)),FALSE,TRUE)</formula>
    </cfRule>
  </conditionalFormatting>
  <conditionalFormatting sqref="L170">
    <cfRule type="expression" dxfId="8" priority="8" stopIfTrue="1">
      <formula>IF(AND(IF(L170&lt;TODAY(),TRUE,FALSE),ISBLANK(N170)),TRUE,FALSE)</formula>
    </cfRule>
    <cfRule type="expression" dxfId="7" priority="9" stopIfTrue="1">
      <formula>IF(AND(IF(M170="",FALSE,TRUE),IF(N170="",FALSE,TRUE))=TRUE,TRUE,FALSE)</formula>
    </cfRule>
    <cfRule type="expression" dxfId="6" priority="10" stopIfTrue="1">
      <formula>IF(AND(IF(L170&lt;TODAY(),TRUE,FALSE),ISBLANK(M170)),TRUE,FALSE)</formula>
    </cfRule>
  </conditionalFormatting>
  <conditionalFormatting sqref="M170">
    <cfRule type="expression" dxfId="5" priority="5" stopIfTrue="1">
      <formula>IF(AND(IF(M170="",FALSE,TRUE),IF(N170="",FALSE,TRUE))=TRUE,TRUE,FALSE)</formula>
    </cfRule>
    <cfRule type="expression" dxfId="4" priority="6" stopIfTrue="1">
      <formula>IF(AND(ISBLANK(M170),IF(L170&lt;TODAY(),TRUE,FALSE))=FALSE,FALSE,TRUE)</formula>
    </cfRule>
    <cfRule type="expression" dxfId="3" priority="7" stopIfTrue="1">
      <formula>IF(AND(IF(L170="",FALSE,TRUE),IF(M170="",FALSE,TRUE))=FALSE,TRUE,FALSE)</formula>
    </cfRule>
  </conditionalFormatting>
  <conditionalFormatting sqref="Q170">
    <cfRule type="cellIs" dxfId="2" priority="4" stopIfTrue="1" operator="greaterThan">
      <formula>0</formula>
    </cfRule>
  </conditionalFormatting>
  <conditionalFormatting sqref="I170">
    <cfRule type="cellIs" dxfId="1" priority="3" stopIfTrue="1" operator="greaterThan">
      <formula>0</formula>
    </cfRule>
  </conditionalFormatting>
  <conditionalFormatting sqref="I105:I108">
    <cfRule type="cellIs" dxfId="0" priority="1" stopIfTrue="1" operator="greaterThan">
      <formula>0</formula>
    </cfRule>
  </conditionalFormatting>
  <hyperlinks>
    <hyperlink ref="C5" r:id="rId1"/>
    <hyperlink ref="J162" r:id="rId2"/>
    <hyperlink ref="J163" r:id="rId3"/>
    <hyperlink ref="J164" r:id="rId4"/>
    <hyperlink ref="J165" r:id="rId5"/>
    <hyperlink ref="J166" r:id="rId6"/>
    <hyperlink ref="J170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t2</vt:lpstr>
      <vt:lpstr>t3</vt:lpstr>
      <vt:lpstr>t7</vt:lpstr>
      <vt:lpstr>harm</vt:lpstr>
      <vt:lpstr>harm!all</vt:lpstr>
      <vt:lpstr>'t2'!all</vt:lpstr>
      <vt:lpstr>'t3'!all</vt:lpstr>
      <vt:lpstr>'t7'!all</vt:lpstr>
      <vt:lpstr>harm!Print_Area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Bartłomiej Pokrzywa</cp:lastModifiedBy>
  <cp:lastPrinted>2014-06-10T09:24:20Z</cp:lastPrinted>
  <dcterms:created xsi:type="dcterms:W3CDTF">2001-11-19T13:15:04Z</dcterms:created>
  <dcterms:modified xsi:type="dcterms:W3CDTF">2015-11-20T11:55:24Z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